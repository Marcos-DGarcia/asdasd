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2.xml" ContentType="application/vnd.openxmlformats-officedocument.spreadsheetml.table+xml"/>
  <Override PartName="/xl/drawings/drawing1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ACROS MARCOS\PETRONAS\"/>
    </mc:Choice>
  </mc:AlternateContent>
  <xr:revisionPtr revIDLastSave="0" documentId="13_ncr:1_{B2EF5EE9-0AED-4AFD-9205-EA2C9A094691}" xr6:coauthVersionLast="46" xr6:coauthVersionMax="47" xr10:uidLastSave="{00000000-0000-0000-0000-000000000000}"/>
  <bookViews>
    <workbookView xWindow="-120" yWindow="-120" windowWidth="20730" windowHeight="11160" tabRatio="876" firstSheet="5" activeTab="7" xr2:uid="{00000000-000D-0000-FFFF-FFFF00000000}"/>
  </bookViews>
  <sheets>
    <sheet name="ESPECIALES" sheetId="52" r:id="rId1"/>
    <sheet name="CORDOBA" sheetId="51" r:id="rId2"/>
    <sheet name="DEVOLUCIONES" sheetId="50" r:id="rId3"/>
    <sheet name="PUERTO" sheetId="49" r:id="rId4"/>
    <sheet name="INGRESOS DESDE PLANTAS" sheetId="48" r:id="rId5"/>
    <sheet name="ENVIOS A PLANTAS" sheetId="47" r:id="rId6"/>
    <sheet name="DESPACHOS DESDE PLANTAS" sheetId="59" r:id="rId7"/>
    <sheet name="DESPACHOS" sheetId="46" r:id="rId8"/>
    <sheet name="INSUMOS" sheetId="1" r:id="rId9"/>
    <sheet name="MUDANZA" sheetId="43" r:id="rId10"/>
    <sheet name="INGRESOS DE PUERTO" sheetId="61" r:id="rId11"/>
    <sheet name="INGRESOS" sheetId="60" r:id="rId12"/>
    <sheet name="PUERTO-PIBERA" sheetId="62" r:id="rId13"/>
    <sheet name="INDEX" sheetId="2" r:id="rId14"/>
    <sheet name="BDVIAJES" sheetId="38" r:id="rId15"/>
    <sheet name="VIAJESaEXPRESOS" sheetId="55" r:id="rId16"/>
    <sheet name="RENTABILIDAD" sheetId="54" r:id="rId17"/>
    <sheet name="BDEXPRESOS" sheetId="53" r:id="rId18"/>
    <sheet name="BDCHOFERES" sheetId="44" r:id="rId19"/>
    <sheet name="BDCLIENTES" sheetId="56" state="hidden" r:id="rId20"/>
  </sheets>
  <externalReferences>
    <externalReference r:id="rId21"/>
  </externalReferences>
  <definedNames>
    <definedName name="_xlnm._FilterDatabase" localSheetId="14" hidden="1">BDVIAJES!$A$2:$M$964</definedName>
    <definedName name="_xlnm.Print_Area" localSheetId="1">CORDOBA!$A$1:$G$39</definedName>
    <definedName name="_xlnm.Print_Area" localSheetId="6">'DESPACHOS DESDE PLANTAS'!$A$1:$G$39</definedName>
    <definedName name="_xlnm.Print_Area" localSheetId="2">DEVOLUCIONES!$A$1:$G$39</definedName>
    <definedName name="_xlnm.Print_Area" localSheetId="5">'ENVIOS A PLANTAS'!$A$1:$G$39</definedName>
    <definedName name="_xlnm.Print_Area" localSheetId="0">ESPECIALES!$A$1:$G$39</definedName>
    <definedName name="_xlnm.Print_Area" localSheetId="11">INGRESOS!$A$1:$G$39</definedName>
    <definedName name="_xlnm.Print_Area" localSheetId="10">'INGRESOS DE PUERTO'!$A$1:$G$39</definedName>
    <definedName name="_xlnm.Print_Area" localSheetId="4">'INGRESOS DESDE PLANTAS'!$A$1:$G$39</definedName>
    <definedName name="_xlnm.Print_Area" localSheetId="8">INSUMOS!$A$1:$G$39</definedName>
    <definedName name="_xlnm.Print_Area" localSheetId="9">MUDANZA!$A$1:$G$39</definedName>
    <definedName name="_xlnm.Print_Area" localSheetId="3">PUERTO!$B$1:$J$39</definedName>
    <definedName name="_xlnm.Print_Area" localSheetId="12">'PUERTO-PIBERA'!$A$1:$I$39</definedName>
    <definedName name="OK">'[1]1'!$W$2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9" i="38" l="1"/>
  <c r="O149" i="38" s="1"/>
  <c r="L95" i="38"/>
  <c r="O95" i="38" s="1"/>
  <c r="O51" i="38"/>
  <c r="O50" i="38"/>
  <c r="L50" i="38"/>
  <c r="L51" i="38"/>
  <c r="O461" i="38"/>
  <c r="O460" i="38"/>
  <c r="L461" i="38"/>
  <c r="L460" i="38"/>
  <c r="O189" i="38"/>
  <c r="L189" i="38"/>
  <c r="O142" i="38"/>
  <c r="L142" i="38"/>
  <c r="O129" i="38"/>
  <c r="L129" i="38"/>
  <c r="O47" i="38"/>
  <c r="L47" i="38"/>
  <c r="O319" i="38"/>
  <c r="L56" i="38"/>
  <c r="Q982" i="38"/>
  <c r="M477" i="38"/>
  <c r="J165" i="38"/>
  <c r="O165" i="38" s="1"/>
  <c r="L165" i="38" l="1"/>
  <c r="B7" i="47"/>
  <c r="O434" i="38"/>
  <c r="L434" i="38"/>
  <c r="O249" i="38"/>
  <c r="T249" i="38" s="1"/>
  <c r="L249" i="38"/>
  <c r="T359" i="38"/>
  <c r="O328" i="38"/>
  <c r="L328" i="38"/>
  <c r="L319" i="38"/>
  <c r="B7" i="46"/>
  <c r="B7" i="48"/>
  <c r="O246" i="38"/>
  <c r="O245" i="38"/>
  <c r="L246" i="38"/>
  <c r="L245" i="38"/>
  <c r="M290" i="38"/>
  <c r="M214" i="38"/>
  <c r="O175" i="38"/>
  <c r="O46" i="38"/>
  <c r="L46" i="38"/>
  <c r="K175" i="38"/>
  <c r="K965" i="38" s="1"/>
  <c r="O194" i="38"/>
  <c r="O192" i="38"/>
  <c r="O191" i="38"/>
  <c r="O186" i="38"/>
  <c r="O159" i="38"/>
  <c r="L194" i="38"/>
  <c r="L192" i="38"/>
  <c r="L191" i="38"/>
  <c r="L186" i="38"/>
  <c r="L159" i="38"/>
  <c r="O208" i="38"/>
  <c r="L208" i="38"/>
  <c r="O156" i="38"/>
  <c r="O157" i="38"/>
  <c r="L156" i="38"/>
  <c r="L157" i="38"/>
  <c r="L3" i="55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I501" i="54"/>
  <c r="J4" i="54"/>
  <c r="J5" i="54"/>
  <c r="J6" i="54"/>
  <c r="J7" i="54"/>
  <c r="J8" i="54"/>
  <c r="J11" i="54"/>
  <c r="J12" i="54"/>
  <c r="J13" i="54"/>
  <c r="J14" i="54"/>
  <c r="J15" i="54"/>
  <c r="J16" i="54"/>
  <c r="J17" i="54"/>
  <c r="J18" i="54"/>
  <c r="J19" i="54"/>
  <c r="J20" i="54"/>
  <c r="J21" i="54"/>
  <c r="J22" i="54"/>
  <c r="J23" i="54"/>
  <c r="J24" i="54"/>
  <c r="J25" i="54"/>
  <c r="J26" i="54"/>
  <c r="J27" i="54"/>
  <c r="J28" i="54"/>
  <c r="J29" i="54"/>
  <c r="J30" i="54"/>
  <c r="J31" i="54"/>
  <c r="J32" i="54"/>
  <c r="J33" i="54"/>
  <c r="J34" i="54"/>
  <c r="J35" i="54"/>
  <c r="J36" i="54"/>
  <c r="J37" i="54"/>
  <c r="J38" i="54"/>
  <c r="J39" i="54"/>
  <c r="J40" i="54"/>
  <c r="J41" i="54"/>
  <c r="J42" i="54"/>
  <c r="J43" i="54"/>
  <c r="J44" i="54"/>
  <c r="J45" i="54"/>
  <c r="J46" i="54"/>
  <c r="J47" i="54"/>
  <c r="J48" i="54"/>
  <c r="J49" i="54"/>
  <c r="J50" i="54"/>
  <c r="J51" i="54"/>
  <c r="J52" i="54"/>
  <c r="J53" i="54"/>
  <c r="J54" i="54"/>
  <c r="J55" i="54"/>
  <c r="J56" i="54"/>
  <c r="J57" i="54"/>
  <c r="J58" i="54"/>
  <c r="J59" i="54"/>
  <c r="J60" i="54"/>
  <c r="J61" i="54"/>
  <c r="J62" i="54"/>
  <c r="J63" i="54"/>
  <c r="J64" i="54"/>
  <c r="J65" i="54"/>
  <c r="J66" i="54"/>
  <c r="J67" i="54"/>
  <c r="J68" i="54"/>
  <c r="J69" i="54"/>
  <c r="J70" i="54"/>
  <c r="J71" i="54"/>
  <c r="J72" i="54"/>
  <c r="J73" i="54"/>
  <c r="J74" i="54"/>
  <c r="J75" i="54"/>
  <c r="J76" i="54"/>
  <c r="J77" i="54"/>
  <c r="J78" i="54"/>
  <c r="J79" i="54"/>
  <c r="J80" i="54"/>
  <c r="J81" i="54"/>
  <c r="J82" i="54"/>
  <c r="J83" i="54"/>
  <c r="J84" i="54"/>
  <c r="J85" i="54"/>
  <c r="J86" i="54"/>
  <c r="J87" i="54"/>
  <c r="J88" i="54"/>
  <c r="J89" i="54"/>
  <c r="J90" i="54"/>
  <c r="J91" i="54"/>
  <c r="J92" i="54"/>
  <c r="J93" i="54"/>
  <c r="J94" i="54"/>
  <c r="J95" i="54"/>
  <c r="J96" i="54"/>
  <c r="J97" i="54"/>
  <c r="J98" i="54"/>
  <c r="J99" i="54"/>
  <c r="J100" i="54"/>
  <c r="J101" i="54"/>
  <c r="J102" i="54"/>
  <c r="J103" i="54"/>
  <c r="J104" i="54"/>
  <c r="J105" i="54"/>
  <c r="J106" i="54"/>
  <c r="J107" i="54"/>
  <c r="J108" i="54"/>
  <c r="J109" i="54"/>
  <c r="J110" i="54"/>
  <c r="J111" i="54"/>
  <c r="J112" i="54"/>
  <c r="J113" i="54"/>
  <c r="J114" i="54"/>
  <c r="J115" i="54"/>
  <c r="J116" i="54"/>
  <c r="J117" i="54"/>
  <c r="J118" i="54"/>
  <c r="J119" i="54"/>
  <c r="J120" i="54"/>
  <c r="J121" i="54"/>
  <c r="J122" i="54"/>
  <c r="J123" i="54"/>
  <c r="J124" i="54"/>
  <c r="J125" i="54"/>
  <c r="J126" i="54"/>
  <c r="J127" i="54"/>
  <c r="J128" i="54"/>
  <c r="J129" i="54"/>
  <c r="J130" i="54"/>
  <c r="J131" i="54"/>
  <c r="J132" i="54"/>
  <c r="J133" i="54"/>
  <c r="J3" i="54"/>
  <c r="O94" i="38"/>
  <c r="L94" i="38"/>
  <c r="O93" i="38"/>
  <c r="L93" i="38"/>
  <c r="O56" i="38"/>
  <c r="M965" i="38" l="1"/>
  <c r="J501" i="54"/>
  <c r="C7" i="49"/>
  <c r="J37" i="46" l="1"/>
  <c r="L965" i="38" l="1"/>
  <c r="G10" i="48"/>
  <c r="T52" i="38"/>
  <c r="T148" i="38"/>
  <c r="T152" i="38"/>
  <c r="T165" i="38"/>
  <c r="T184" i="38"/>
  <c r="C10" i="44" l="1"/>
  <c r="B7" i="62"/>
  <c r="B13" i="2"/>
  <c r="B14" i="2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2" i="38"/>
  <c r="T33" i="38"/>
  <c r="T34" i="38"/>
  <c r="T35" i="38"/>
  <c r="T36" i="38"/>
  <c r="T37" i="38"/>
  <c r="T38" i="38"/>
  <c r="T39" i="38"/>
  <c r="T40" i="38"/>
  <c r="T41" i="38"/>
  <c r="T42" i="38"/>
  <c r="T53" i="38"/>
  <c r="T54" i="38"/>
  <c r="T55" i="38"/>
  <c r="T95" i="38"/>
  <c r="T97" i="38"/>
  <c r="T98" i="38"/>
  <c r="T103" i="38"/>
  <c r="T104" i="38"/>
  <c r="T93" i="38"/>
  <c r="T96" i="38"/>
  <c r="T99" i="38"/>
  <c r="T10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50" i="38"/>
  <c r="T51" i="38"/>
  <c r="T108" i="38"/>
  <c r="T120" i="38"/>
  <c r="T122" i="38"/>
  <c r="T123" i="38"/>
  <c r="T129" i="38"/>
  <c r="T139" i="38"/>
  <c r="T141" i="38"/>
  <c r="T142" i="38"/>
  <c r="T143" i="38"/>
  <c r="T145" i="38"/>
  <c r="T146" i="38"/>
  <c r="T147" i="38"/>
  <c r="T94" i="38"/>
  <c r="T106" i="38"/>
  <c r="T107" i="38"/>
  <c r="T109" i="38"/>
  <c r="T127" i="38"/>
  <c r="T128" i="38"/>
  <c r="T137" i="38"/>
  <c r="T138" i="38"/>
  <c r="T140" i="38"/>
  <c r="T47" i="38"/>
  <c r="T117" i="38"/>
  <c r="T118" i="38"/>
  <c r="T121" i="38"/>
  <c r="T126" i="38"/>
  <c r="T144" i="38"/>
  <c r="T48" i="38"/>
  <c r="T101" i="38"/>
  <c r="T102" i="38"/>
  <c r="T110" i="38"/>
  <c r="T111" i="38"/>
  <c r="T113" i="38"/>
  <c r="T124" i="38"/>
  <c r="T130" i="38"/>
  <c r="T131" i="38"/>
  <c r="T132" i="38"/>
  <c r="T133" i="38"/>
  <c r="T134" i="38"/>
  <c r="T135" i="38"/>
  <c r="T136" i="38"/>
  <c r="T157" i="38"/>
  <c r="T156" i="38"/>
  <c r="T150" i="38"/>
  <c r="T151" i="38"/>
  <c r="T160" i="38"/>
  <c r="T161" i="38"/>
  <c r="T187" i="38"/>
  <c r="T185" i="38"/>
  <c r="T189" i="38"/>
  <c r="T149" i="38"/>
  <c r="T169" i="38"/>
  <c r="T170" i="38"/>
  <c r="T171" i="38"/>
  <c r="T176" i="38"/>
  <c r="T181" i="38"/>
  <c r="T182" i="38"/>
  <c r="T183" i="38"/>
  <c r="T188" i="38"/>
  <c r="T162" i="38"/>
  <c r="T163" i="38"/>
  <c r="T164" i="38"/>
  <c r="T174" i="38"/>
  <c r="T178" i="38"/>
  <c r="T179" i="38"/>
  <c r="T180" i="38"/>
  <c r="T125" i="38"/>
  <c r="T119" i="38"/>
  <c r="T158" i="38"/>
  <c r="T177" i="38"/>
  <c r="T45" i="38"/>
  <c r="T172" i="38"/>
  <c r="T173" i="38"/>
  <c r="T46" i="38"/>
  <c r="T175" i="38"/>
  <c r="T49" i="38"/>
  <c r="T159" i="38"/>
  <c r="T186" i="38"/>
  <c r="T191" i="38"/>
  <c r="T192" i="38"/>
  <c r="T193" i="38"/>
  <c r="T194" i="38"/>
  <c r="T196" i="38"/>
  <c r="T195" i="38"/>
  <c r="T197" i="38"/>
  <c r="T198" i="38"/>
  <c r="T200" i="38"/>
  <c r="T202" i="38"/>
  <c r="T203" i="38"/>
  <c r="T204" i="38"/>
  <c r="T205" i="38"/>
  <c r="T206" i="38"/>
  <c r="T207" i="38"/>
  <c r="T208" i="38"/>
  <c r="T209" i="38"/>
  <c r="T210" i="38"/>
  <c r="T212" i="38"/>
  <c r="T215" i="38"/>
  <c r="T218" i="38"/>
  <c r="T223" i="38"/>
  <c r="T226" i="38"/>
  <c r="T230" i="38"/>
  <c r="T224" i="38"/>
  <c r="T225" i="38"/>
  <c r="T227" i="38"/>
  <c r="T199" i="38"/>
  <c r="T214" i="38"/>
  <c r="T216" i="38"/>
  <c r="T217" i="38"/>
  <c r="T219" i="38"/>
  <c r="T228" i="38"/>
  <c r="T231" i="38"/>
  <c r="T232" i="38"/>
  <c r="T166" i="38"/>
  <c r="T167" i="38"/>
  <c r="T168" i="38"/>
  <c r="T190" i="38"/>
  <c r="T229" i="38"/>
  <c r="T233" i="38"/>
  <c r="T220" i="38"/>
  <c r="T221" i="38"/>
  <c r="T222" i="38"/>
  <c r="T236" i="38"/>
  <c r="T291" i="38"/>
  <c r="T294" i="38"/>
  <c r="T295" i="38"/>
  <c r="T296" i="38"/>
  <c r="T297" i="38"/>
  <c r="T299" i="38"/>
  <c r="T300" i="38"/>
  <c r="T301" i="38"/>
  <c r="T302" i="38"/>
  <c r="T305" i="38"/>
  <c r="T234" i="38"/>
  <c r="T284" i="38"/>
  <c r="T288" i="38"/>
  <c r="T237" i="38"/>
  <c r="T239" i="38"/>
  <c r="T287" i="38"/>
  <c r="T304" i="38"/>
  <c r="T235" i="38"/>
  <c r="T245" i="38"/>
  <c r="T246" i="38"/>
  <c r="T238" i="38"/>
  <c r="T290" i="38"/>
  <c r="T293" i="38"/>
  <c r="T298" i="38"/>
  <c r="T306" i="38"/>
  <c r="T244" i="38"/>
  <c r="T292" i="38"/>
  <c r="T303" i="38"/>
  <c r="T307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114" i="38"/>
  <c r="T115" i="38"/>
  <c r="T116" i="38"/>
  <c r="T153" i="38"/>
  <c r="T154" i="38"/>
  <c r="T155" i="38"/>
  <c r="T201" i="38"/>
  <c r="T213" i="38"/>
  <c r="T240" i="38"/>
  <c r="T241" i="38"/>
  <c r="T242" i="38"/>
  <c r="T243" i="38"/>
  <c r="T252" i="38"/>
  <c r="T281" i="38"/>
  <c r="T310" i="38"/>
  <c r="T311" i="38"/>
  <c r="T314" i="38"/>
  <c r="T315" i="38"/>
  <c r="T317" i="38"/>
  <c r="T318" i="38"/>
  <c r="T320" i="38"/>
  <c r="T285" i="38"/>
  <c r="T286" i="38"/>
  <c r="T308" i="38"/>
  <c r="T312" i="38"/>
  <c r="T316" i="38"/>
  <c r="T321" i="38"/>
  <c r="T3" i="38"/>
  <c r="B17" i="2"/>
  <c r="I35" i="62"/>
  <c r="I34" i="62"/>
  <c r="I33" i="62"/>
  <c r="I32" i="62"/>
  <c r="I31" i="62"/>
  <c r="I30" i="62"/>
  <c r="I29" i="62"/>
  <c r="I28" i="62"/>
  <c r="I27" i="62"/>
  <c r="I26" i="62"/>
  <c r="I25" i="62"/>
  <c r="I24" i="62"/>
  <c r="I23" i="62"/>
  <c r="I22" i="62"/>
  <c r="I21" i="62"/>
  <c r="I20" i="62"/>
  <c r="I19" i="62"/>
  <c r="I18" i="62"/>
  <c r="I17" i="62"/>
  <c r="I16" i="62"/>
  <c r="I15" i="62"/>
  <c r="I14" i="62"/>
  <c r="I13" i="62"/>
  <c r="I12" i="62"/>
  <c r="I11" i="62"/>
  <c r="I10" i="62"/>
  <c r="I9" i="62"/>
  <c r="G35" i="61"/>
  <c r="G34" i="61"/>
  <c r="G33" i="61"/>
  <c r="G32" i="61"/>
  <c r="G31" i="61"/>
  <c r="G30" i="61"/>
  <c r="G29" i="61"/>
  <c r="G28" i="61"/>
  <c r="G27" i="61"/>
  <c r="G26" i="61"/>
  <c r="G25" i="61"/>
  <c r="G24" i="61"/>
  <c r="G23" i="61"/>
  <c r="G22" i="61"/>
  <c r="G21" i="61"/>
  <c r="G20" i="61"/>
  <c r="G19" i="61"/>
  <c r="G18" i="61"/>
  <c r="G17" i="61"/>
  <c r="G16" i="61"/>
  <c r="G15" i="61"/>
  <c r="G14" i="61"/>
  <c r="G13" i="61"/>
  <c r="G12" i="61"/>
  <c r="G11" i="61"/>
  <c r="G10" i="61"/>
  <c r="G9" i="61"/>
  <c r="B7" i="61"/>
  <c r="G35" i="60"/>
  <c r="G34" i="60"/>
  <c r="G33" i="60"/>
  <c r="G32" i="60"/>
  <c r="G31" i="60"/>
  <c r="G30" i="60"/>
  <c r="G29" i="60"/>
  <c r="G28" i="60"/>
  <c r="G27" i="60"/>
  <c r="G26" i="60"/>
  <c r="G25" i="60"/>
  <c r="G24" i="60"/>
  <c r="G23" i="60"/>
  <c r="G22" i="60"/>
  <c r="G21" i="60"/>
  <c r="G20" i="60"/>
  <c r="G19" i="60"/>
  <c r="G18" i="60"/>
  <c r="G17" i="60"/>
  <c r="G16" i="60"/>
  <c r="G15" i="60"/>
  <c r="G14" i="60"/>
  <c r="G13" i="60"/>
  <c r="G12" i="60"/>
  <c r="G11" i="60"/>
  <c r="G10" i="60"/>
  <c r="G9" i="60"/>
  <c r="B7" i="60"/>
  <c r="G37" i="60" l="1"/>
  <c r="G38" i="60" s="1"/>
  <c r="G39" i="60" s="1"/>
  <c r="G37" i="61"/>
  <c r="G38" i="61" s="1"/>
  <c r="G39" i="61" s="1"/>
  <c r="G37" i="62"/>
  <c r="G38" i="62" s="1"/>
  <c r="G39" i="62" s="1"/>
  <c r="T112" i="38" l="1"/>
  <c r="T31" i="38" l="1"/>
  <c r="C14" i="44"/>
  <c r="N965" i="38"/>
  <c r="C11" i="44" l="1"/>
  <c r="C17" i="44"/>
  <c r="C4" i="44"/>
  <c r="D965" i="38"/>
  <c r="C28" i="44"/>
  <c r="K23" i="54"/>
  <c r="T100" i="38" l="1"/>
  <c r="O965" i="38"/>
  <c r="B20" i="2"/>
  <c r="K11" i="46"/>
  <c r="I37" i="46"/>
  <c r="K10" i="46"/>
  <c r="K12" i="46"/>
  <c r="K13" i="46"/>
  <c r="K14" i="46"/>
  <c r="K15" i="46"/>
  <c r="K16" i="46"/>
  <c r="K17" i="46"/>
  <c r="K18" i="46"/>
  <c r="K19" i="46"/>
  <c r="K20" i="46"/>
  <c r="K21" i="46"/>
  <c r="K22" i="46"/>
  <c r="K23" i="46"/>
  <c r="K24" i="46"/>
  <c r="K25" i="46"/>
  <c r="K26" i="46"/>
  <c r="K27" i="46"/>
  <c r="K28" i="46"/>
  <c r="K29" i="46"/>
  <c r="K30" i="46"/>
  <c r="K31" i="46"/>
  <c r="K32" i="46"/>
  <c r="K33" i="46"/>
  <c r="K34" i="46"/>
  <c r="K35" i="46"/>
  <c r="K9" i="46"/>
  <c r="K37" i="46" l="1"/>
  <c r="K38" i="46" s="1"/>
  <c r="K39" i="46" s="1"/>
  <c r="K25" i="54"/>
  <c r="K26" i="54"/>
  <c r="K27" i="54"/>
  <c r="K17" i="54"/>
  <c r="K28" i="54"/>
  <c r="K29" i="54"/>
  <c r="K30" i="54"/>
  <c r="K3" i="54"/>
  <c r="K21" i="54"/>
  <c r="K14" i="54"/>
  <c r="K10" i="54"/>
  <c r="K11" i="54"/>
  <c r="K4" i="54"/>
  <c r="K22" i="54"/>
  <c r="K13" i="54"/>
  <c r="K15" i="54"/>
  <c r="K7" i="54"/>
  <c r="K8" i="54"/>
  <c r="K9" i="54"/>
  <c r="K12" i="54"/>
  <c r="K18" i="54"/>
  <c r="K19" i="54"/>
  <c r="K20" i="54"/>
  <c r="K31" i="54"/>
  <c r="K32" i="54"/>
  <c r="K5" i="54"/>
  <c r="K6" i="54"/>
  <c r="K16" i="54"/>
  <c r="K33" i="54"/>
  <c r="K34" i="54"/>
  <c r="K35" i="54"/>
  <c r="K36" i="54"/>
  <c r="K37" i="54"/>
  <c r="K38" i="54"/>
  <c r="K39" i="54"/>
  <c r="K40" i="54"/>
  <c r="K41" i="54"/>
  <c r="K42" i="54"/>
  <c r="K43" i="54"/>
  <c r="K44" i="54"/>
  <c r="K45" i="54"/>
  <c r="K46" i="54"/>
  <c r="K47" i="54"/>
  <c r="K48" i="54"/>
  <c r="K49" i="54"/>
  <c r="K50" i="54"/>
  <c r="K51" i="54"/>
  <c r="K52" i="54"/>
  <c r="K53" i="54"/>
  <c r="K54" i="54"/>
  <c r="K55" i="54"/>
  <c r="K56" i="54"/>
  <c r="K57" i="54"/>
  <c r="K58" i="54"/>
  <c r="K59" i="54"/>
  <c r="K60" i="54"/>
  <c r="K61" i="54"/>
  <c r="K62" i="54"/>
  <c r="K63" i="54"/>
  <c r="K64" i="54"/>
  <c r="K65" i="54"/>
  <c r="K66" i="54"/>
  <c r="K67" i="54"/>
  <c r="K68" i="54"/>
  <c r="K69" i="54"/>
  <c r="K70" i="54"/>
  <c r="K71" i="54"/>
  <c r="K72" i="54"/>
  <c r="K73" i="54"/>
  <c r="K74" i="54"/>
  <c r="K75" i="54"/>
  <c r="K76" i="54"/>
  <c r="K77" i="54"/>
  <c r="K78" i="54"/>
  <c r="K79" i="54"/>
  <c r="K80" i="54"/>
  <c r="K81" i="54"/>
  <c r="K82" i="54"/>
  <c r="K83" i="54"/>
  <c r="K84" i="54"/>
  <c r="K85" i="54"/>
  <c r="K86" i="54"/>
  <c r="K87" i="54"/>
  <c r="K88" i="54"/>
  <c r="K89" i="54"/>
  <c r="K90" i="54"/>
  <c r="K91" i="54"/>
  <c r="K92" i="54"/>
  <c r="K93" i="54"/>
  <c r="K94" i="54"/>
  <c r="K95" i="54"/>
  <c r="K96" i="54"/>
  <c r="K97" i="54"/>
  <c r="K98" i="54"/>
  <c r="K99" i="54"/>
  <c r="K100" i="54"/>
  <c r="K101" i="54"/>
  <c r="K102" i="54"/>
  <c r="K103" i="54"/>
  <c r="K104" i="54"/>
  <c r="K105" i="54"/>
  <c r="K106" i="54"/>
  <c r="K107" i="54"/>
  <c r="K108" i="54"/>
  <c r="K109" i="54"/>
  <c r="K110" i="54"/>
  <c r="K111" i="54"/>
  <c r="K112" i="54"/>
  <c r="K113" i="54"/>
  <c r="K114" i="54"/>
  <c r="K115" i="54"/>
  <c r="K116" i="54"/>
  <c r="K117" i="54"/>
  <c r="K118" i="54"/>
  <c r="K119" i="54"/>
  <c r="K120" i="54"/>
  <c r="K121" i="54"/>
  <c r="K122" i="54"/>
  <c r="K123" i="54"/>
  <c r="K124" i="54"/>
  <c r="K125" i="54"/>
  <c r="K126" i="54"/>
  <c r="K127" i="54"/>
  <c r="K128" i="54"/>
  <c r="K129" i="54"/>
  <c r="K130" i="54"/>
  <c r="K131" i="54"/>
  <c r="K132" i="54"/>
  <c r="K133" i="54"/>
  <c r="K134" i="54"/>
  <c r="K135" i="54"/>
  <c r="K136" i="54"/>
  <c r="K137" i="54"/>
  <c r="K138" i="54"/>
  <c r="K139" i="54"/>
  <c r="K140" i="54"/>
  <c r="K141" i="54"/>
  <c r="K142" i="54"/>
  <c r="K143" i="54"/>
  <c r="K144" i="54"/>
  <c r="K145" i="54"/>
  <c r="K146" i="54"/>
  <c r="K147" i="54"/>
  <c r="K148" i="54"/>
  <c r="K149" i="54"/>
  <c r="K150" i="54"/>
  <c r="K151" i="54"/>
  <c r="K152" i="54"/>
  <c r="K153" i="54"/>
  <c r="K154" i="54"/>
  <c r="K155" i="54"/>
  <c r="K156" i="54"/>
  <c r="K157" i="54"/>
  <c r="K158" i="54"/>
  <c r="K159" i="54"/>
  <c r="K160" i="54"/>
  <c r="K161" i="54"/>
  <c r="K162" i="54"/>
  <c r="K163" i="54"/>
  <c r="K164" i="54"/>
  <c r="K165" i="54"/>
  <c r="K166" i="54"/>
  <c r="K167" i="54"/>
  <c r="K168" i="54"/>
  <c r="K169" i="54"/>
  <c r="K170" i="54"/>
  <c r="K171" i="54"/>
  <c r="K172" i="54"/>
  <c r="K173" i="54"/>
  <c r="K174" i="54"/>
  <c r="J175" i="54"/>
  <c r="K175" i="54" s="1"/>
  <c r="J176" i="54"/>
  <c r="K176" i="54" s="1"/>
  <c r="J177" i="54"/>
  <c r="K177" i="54" s="1"/>
  <c r="J178" i="54"/>
  <c r="K178" i="54" s="1"/>
  <c r="J179" i="54"/>
  <c r="K179" i="54" s="1"/>
  <c r="J180" i="54"/>
  <c r="K180" i="54" s="1"/>
  <c r="J181" i="54"/>
  <c r="K181" i="54" s="1"/>
  <c r="J182" i="54"/>
  <c r="K182" i="54" s="1"/>
  <c r="J183" i="54"/>
  <c r="K183" i="54" s="1"/>
  <c r="J184" i="54"/>
  <c r="K184" i="54" s="1"/>
  <c r="J185" i="54"/>
  <c r="K185" i="54" s="1"/>
  <c r="J186" i="54"/>
  <c r="K186" i="54" s="1"/>
  <c r="J187" i="54"/>
  <c r="K187" i="54" s="1"/>
  <c r="J188" i="54"/>
  <c r="K188" i="54" s="1"/>
  <c r="J189" i="54"/>
  <c r="K189" i="54" s="1"/>
  <c r="J190" i="54"/>
  <c r="K190" i="54" s="1"/>
  <c r="J191" i="54"/>
  <c r="K191" i="54" s="1"/>
  <c r="J192" i="54"/>
  <c r="K192" i="54" s="1"/>
  <c r="J193" i="54"/>
  <c r="K193" i="54" s="1"/>
  <c r="J194" i="54"/>
  <c r="K194" i="54" s="1"/>
  <c r="J195" i="54"/>
  <c r="K195" i="54" s="1"/>
  <c r="J196" i="54"/>
  <c r="K196" i="54" s="1"/>
  <c r="J197" i="54"/>
  <c r="K197" i="54" s="1"/>
  <c r="J198" i="54"/>
  <c r="K198" i="54" s="1"/>
  <c r="J199" i="54"/>
  <c r="K199" i="54" s="1"/>
  <c r="J200" i="54"/>
  <c r="K200" i="54" s="1"/>
  <c r="J201" i="54"/>
  <c r="K201" i="54" s="1"/>
  <c r="J202" i="54"/>
  <c r="K202" i="54" s="1"/>
  <c r="J203" i="54"/>
  <c r="K203" i="54" s="1"/>
  <c r="J204" i="54"/>
  <c r="K204" i="54" s="1"/>
  <c r="J205" i="54"/>
  <c r="K205" i="54" s="1"/>
  <c r="J206" i="54"/>
  <c r="K206" i="54" s="1"/>
  <c r="J207" i="54"/>
  <c r="K207" i="54" s="1"/>
  <c r="J208" i="54"/>
  <c r="K208" i="54" s="1"/>
  <c r="J209" i="54"/>
  <c r="K209" i="54" s="1"/>
  <c r="J210" i="54"/>
  <c r="K210" i="54" s="1"/>
  <c r="J211" i="54"/>
  <c r="K211" i="54" s="1"/>
  <c r="J212" i="54"/>
  <c r="K212" i="54" s="1"/>
  <c r="J213" i="54"/>
  <c r="K213" i="54" s="1"/>
  <c r="J214" i="54"/>
  <c r="K214" i="54" s="1"/>
  <c r="J215" i="54"/>
  <c r="K215" i="54" s="1"/>
  <c r="J216" i="54"/>
  <c r="K216" i="54" s="1"/>
  <c r="J217" i="54"/>
  <c r="K217" i="54" s="1"/>
  <c r="J218" i="54"/>
  <c r="K218" i="54" s="1"/>
  <c r="J219" i="54"/>
  <c r="K219" i="54" s="1"/>
  <c r="J220" i="54"/>
  <c r="K220" i="54" s="1"/>
  <c r="J221" i="54"/>
  <c r="K221" i="54" s="1"/>
  <c r="J222" i="54"/>
  <c r="K222" i="54" s="1"/>
  <c r="J223" i="54"/>
  <c r="K223" i="54" s="1"/>
  <c r="J224" i="54"/>
  <c r="K224" i="54" s="1"/>
  <c r="J225" i="54"/>
  <c r="K225" i="54" s="1"/>
  <c r="J226" i="54"/>
  <c r="K226" i="54" s="1"/>
  <c r="J227" i="54"/>
  <c r="K227" i="54" s="1"/>
  <c r="J228" i="54"/>
  <c r="K228" i="54" s="1"/>
  <c r="J229" i="54"/>
  <c r="K229" i="54" s="1"/>
  <c r="J230" i="54"/>
  <c r="K230" i="54" s="1"/>
  <c r="J231" i="54"/>
  <c r="K231" i="54" s="1"/>
  <c r="J232" i="54"/>
  <c r="K232" i="54" s="1"/>
  <c r="J233" i="54"/>
  <c r="K233" i="54" s="1"/>
  <c r="J234" i="54"/>
  <c r="K234" i="54" s="1"/>
  <c r="J235" i="54"/>
  <c r="K235" i="54" s="1"/>
  <c r="J236" i="54"/>
  <c r="K236" i="54" s="1"/>
  <c r="J237" i="54"/>
  <c r="K237" i="54" s="1"/>
  <c r="J238" i="54"/>
  <c r="K238" i="54" s="1"/>
  <c r="J239" i="54"/>
  <c r="K239" i="54" s="1"/>
  <c r="J240" i="54"/>
  <c r="K240" i="54" s="1"/>
  <c r="J241" i="54"/>
  <c r="K241" i="54" s="1"/>
  <c r="J242" i="54"/>
  <c r="K242" i="54" s="1"/>
  <c r="J243" i="54"/>
  <c r="K243" i="54" s="1"/>
  <c r="J244" i="54"/>
  <c r="K244" i="54" s="1"/>
  <c r="J245" i="54"/>
  <c r="K245" i="54" s="1"/>
  <c r="J246" i="54"/>
  <c r="K246" i="54" s="1"/>
  <c r="J247" i="54"/>
  <c r="K247" i="54" s="1"/>
  <c r="J248" i="54"/>
  <c r="K248" i="54" s="1"/>
  <c r="J249" i="54"/>
  <c r="K249" i="54" s="1"/>
  <c r="J250" i="54"/>
  <c r="K250" i="54" s="1"/>
  <c r="J251" i="54"/>
  <c r="K251" i="54" s="1"/>
  <c r="J252" i="54"/>
  <c r="K252" i="54" s="1"/>
  <c r="J253" i="54"/>
  <c r="K253" i="54" s="1"/>
  <c r="J254" i="54"/>
  <c r="K254" i="54" s="1"/>
  <c r="J255" i="54"/>
  <c r="K255" i="54" s="1"/>
  <c r="J256" i="54"/>
  <c r="K256" i="54" s="1"/>
  <c r="J257" i="54"/>
  <c r="K257" i="54" s="1"/>
  <c r="J258" i="54"/>
  <c r="K258" i="54" s="1"/>
  <c r="J259" i="54"/>
  <c r="K259" i="54" s="1"/>
  <c r="J260" i="54"/>
  <c r="K260" i="54" s="1"/>
  <c r="J261" i="54"/>
  <c r="K261" i="54" s="1"/>
  <c r="J262" i="54"/>
  <c r="K262" i="54" s="1"/>
  <c r="J263" i="54"/>
  <c r="K263" i="54" s="1"/>
  <c r="J264" i="54"/>
  <c r="K264" i="54" s="1"/>
  <c r="J265" i="54"/>
  <c r="K265" i="54" s="1"/>
  <c r="J266" i="54"/>
  <c r="K266" i="54" s="1"/>
  <c r="J267" i="54"/>
  <c r="K267" i="54" s="1"/>
  <c r="J268" i="54"/>
  <c r="K268" i="54" s="1"/>
  <c r="J269" i="54"/>
  <c r="K269" i="54" s="1"/>
  <c r="J270" i="54"/>
  <c r="K270" i="54" s="1"/>
  <c r="J271" i="54"/>
  <c r="K271" i="54" s="1"/>
  <c r="J272" i="54"/>
  <c r="K272" i="54" s="1"/>
  <c r="J273" i="54"/>
  <c r="K273" i="54" s="1"/>
  <c r="J274" i="54"/>
  <c r="K274" i="54" s="1"/>
  <c r="J275" i="54"/>
  <c r="K275" i="54" s="1"/>
  <c r="J276" i="54"/>
  <c r="K276" i="54" s="1"/>
  <c r="J277" i="54"/>
  <c r="K277" i="54" s="1"/>
  <c r="J278" i="54"/>
  <c r="K278" i="54" s="1"/>
  <c r="J279" i="54"/>
  <c r="K279" i="54" s="1"/>
  <c r="J280" i="54"/>
  <c r="K280" i="54" s="1"/>
  <c r="J281" i="54"/>
  <c r="K281" i="54" s="1"/>
  <c r="J282" i="54"/>
  <c r="K282" i="54" s="1"/>
  <c r="J283" i="54"/>
  <c r="K283" i="54" s="1"/>
  <c r="J284" i="54"/>
  <c r="K284" i="54" s="1"/>
  <c r="J285" i="54"/>
  <c r="K285" i="54" s="1"/>
  <c r="J286" i="54"/>
  <c r="K286" i="54" s="1"/>
  <c r="J287" i="54"/>
  <c r="K287" i="54" s="1"/>
  <c r="J288" i="54"/>
  <c r="K288" i="54" s="1"/>
  <c r="J289" i="54"/>
  <c r="K289" i="54" s="1"/>
  <c r="J290" i="54"/>
  <c r="K290" i="54" s="1"/>
  <c r="J291" i="54"/>
  <c r="K291" i="54" s="1"/>
  <c r="J292" i="54"/>
  <c r="K292" i="54" s="1"/>
  <c r="J293" i="54"/>
  <c r="K293" i="54" s="1"/>
  <c r="J294" i="54"/>
  <c r="K294" i="54" s="1"/>
  <c r="J295" i="54"/>
  <c r="K295" i="54" s="1"/>
  <c r="J296" i="54"/>
  <c r="K296" i="54" s="1"/>
  <c r="J297" i="54"/>
  <c r="K297" i="54" s="1"/>
  <c r="J298" i="54"/>
  <c r="K298" i="54" s="1"/>
  <c r="J299" i="54"/>
  <c r="K299" i="54" s="1"/>
  <c r="J300" i="54"/>
  <c r="K300" i="54" s="1"/>
  <c r="J301" i="54"/>
  <c r="K301" i="54" s="1"/>
  <c r="J302" i="54"/>
  <c r="K302" i="54" s="1"/>
  <c r="J303" i="54"/>
  <c r="K303" i="54" s="1"/>
  <c r="J304" i="54"/>
  <c r="K304" i="54" s="1"/>
  <c r="J305" i="54"/>
  <c r="K305" i="54" s="1"/>
  <c r="J306" i="54"/>
  <c r="K306" i="54" s="1"/>
  <c r="J307" i="54"/>
  <c r="K307" i="54" s="1"/>
  <c r="J308" i="54"/>
  <c r="K308" i="54" s="1"/>
  <c r="J309" i="54"/>
  <c r="K309" i="54" s="1"/>
  <c r="J310" i="54"/>
  <c r="K310" i="54" s="1"/>
  <c r="J311" i="54"/>
  <c r="K311" i="54" s="1"/>
  <c r="J312" i="54"/>
  <c r="K312" i="54" s="1"/>
  <c r="J313" i="54"/>
  <c r="K313" i="54" s="1"/>
  <c r="J314" i="54"/>
  <c r="K314" i="54" s="1"/>
  <c r="J315" i="54"/>
  <c r="K315" i="54" s="1"/>
  <c r="J316" i="54"/>
  <c r="K316" i="54" s="1"/>
  <c r="J317" i="54"/>
  <c r="K317" i="54" s="1"/>
  <c r="J318" i="54"/>
  <c r="K318" i="54" s="1"/>
  <c r="J319" i="54"/>
  <c r="K319" i="54" s="1"/>
  <c r="J320" i="54"/>
  <c r="K320" i="54" s="1"/>
  <c r="J321" i="54"/>
  <c r="K321" i="54" s="1"/>
  <c r="J322" i="54"/>
  <c r="K322" i="54" s="1"/>
  <c r="J323" i="54"/>
  <c r="K323" i="54" s="1"/>
  <c r="J324" i="54"/>
  <c r="K324" i="54" s="1"/>
  <c r="J325" i="54"/>
  <c r="K325" i="54" s="1"/>
  <c r="J326" i="54"/>
  <c r="K326" i="54" s="1"/>
  <c r="J327" i="54"/>
  <c r="K327" i="54" s="1"/>
  <c r="J328" i="54"/>
  <c r="K328" i="54" s="1"/>
  <c r="J329" i="54"/>
  <c r="K329" i="54" s="1"/>
  <c r="J330" i="54"/>
  <c r="K330" i="54" s="1"/>
  <c r="J331" i="54"/>
  <c r="K331" i="54" s="1"/>
  <c r="J332" i="54"/>
  <c r="K332" i="54" s="1"/>
  <c r="J333" i="54"/>
  <c r="K333" i="54" s="1"/>
  <c r="J334" i="54"/>
  <c r="K334" i="54" s="1"/>
  <c r="J335" i="54"/>
  <c r="K335" i="54" s="1"/>
  <c r="J336" i="54"/>
  <c r="K336" i="54" s="1"/>
  <c r="J337" i="54"/>
  <c r="K337" i="54" s="1"/>
  <c r="J338" i="54"/>
  <c r="K338" i="54" s="1"/>
  <c r="J339" i="54"/>
  <c r="K339" i="54" s="1"/>
  <c r="J340" i="54"/>
  <c r="K340" i="54" s="1"/>
  <c r="J341" i="54"/>
  <c r="K341" i="54" s="1"/>
  <c r="J342" i="54"/>
  <c r="K342" i="54" s="1"/>
  <c r="J343" i="54"/>
  <c r="K343" i="54" s="1"/>
  <c r="J344" i="54"/>
  <c r="K344" i="54" s="1"/>
  <c r="J345" i="54"/>
  <c r="K345" i="54" s="1"/>
  <c r="J346" i="54"/>
  <c r="K346" i="54" s="1"/>
  <c r="J347" i="54"/>
  <c r="K347" i="54" s="1"/>
  <c r="J348" i="54"/>
  <c r="K348" i="54" s="1"/>
  <c r="J349" i="54"/>
  <c r="K349" i="54" s="1"/>
  <c r="J350" i="54"/>
  <c r="K350" i="54" s="1"/>
  <c r="J351" i="54"/>
  <c r="K351" i="54" s="1"/>
  <c r="J352" i="54"/>
  <c r="K352" i="54" s="1"/>
  <c r="J353" i="54"/>
  <c r="K353" i="54" s="1"/>
  <c r="J354" i="54"/>
  <c r="K354" i="54" s="1"/>
  <c r="J355" i="54"/>
  <c r="K355" i="54" s="1"/>
  <c r="J356" i="54"/>
  <c r="K356" i="54" s="1"/>
  <c r="J357" i="54"/>
  <c r="K357" i="54" s="1"/>
  <c r="J358" i="54"/>
  <c r="K358" i="54" s="1"/>
  <c r="J359" i="54"/>
  <c r="K359" i="54" s="1"/>
  <c r="J360" i="54"/>
  <c r="K360" i="54" s="1"/>
  <c r="J361" i="54"/>
  <c r="K361" i="54" s="1"/>
  <c r="J362" i="54"/>
  <c r="K362" i="54" s="1"/>
  <c r="J363" i="54"/>
  <c r="K363" i="54" s="1"/>
  <c r="J364" i="54"/>
  <c r="K364" i="54" s="1"/>
  <c r="J365" i="54"/>
  <c r="K365" i="54" s="1"/>
  <c r="J366" i="54"/>
  <c r="K366" i="54" s="1"/>
  <c r="J367" i="54"/>
  <c r="K367" i="54" s="1"/>
  <c r="J368" i="54"/>
  <c r="K368" i="54" s="1"/>
  <c r="J369" i="54"/>
  <c r="K369" i="54" s="1"/>
  <c r="J370" i="54"/>
  <c r="K370" i="54" s="1"/>
  <c r="J371" i="54"/>
  <c r="K371" i="54" s="1"/>
  <c r="J372" i="54"/>
  <c r="K372" i="54" s="1"/>
  <c r="J373" i="54"/>
  <c r="K373" i="54" s="1"/>
  <c r="J374" i="54"/>
  <c r="K374" i="54" s="1"/>
  <c r="J375" i="54"/>
  <c r="K375" i="54" s="1"/>
  <c r="J376" i="54"/>
  <c r="K376" i="54" s="1"/>
  <c r="J377" i="54"/>
  <c r="K377" i="54" s="1"/>
  <c r="J378" i="54"/>
  <c r="K378" i="54" s="1"/>
  <c r="J379" i="54"/>
  <c r="K379" i="54" s="1"/>
  <c r="J380" i="54"/>
  <c r="K380" i="54" s="1"/>
  <c r="J381" i="54"/>
  <c r="K381" i="54" s="1"/>
  <c r="J382" i="54"/>
  <c r="K382" i="54" s="1"/>
  <c r="J383" i="54"/>
  <c r="K383" i="54" s="1"/>
  <c r="J384" i="54"/>
  <c r="K384" i="54" s="1"/>
  <c r="J385" i="54"/>
  <c r="K385" i="54" s="1"/>
  <c r="J386" i="54"/>
  <c r="K386" i="54" s="1"/>
  <c r="J387" i="54"/>
  <c r="K387" i="54" s="1"/>
  <c r="J388" i="54"/>
  <c r="K388" i="54" s="1"/>
  <c r="J389" i="54"/>
  <c r="K389" i="54" s="1"/>
  <c r="J390" i="54"/>
  <c r="K390" i="54" s="1"/>
  <c r="J391" i="54"/>
  <c r="K391" i="54" s="1"/>
  <c r="J392" i="54"/>
  <c r="K392" i="54" s="1"/>
  <c r="J393" i="54"/>
  <c r="K393" i="54" s="1"/>
  <c r="J394" i="54"/>
  <c r="K394" i="54" s="1"/>
  <c r="J395" i="54"/>
  <c r="K395" i="54" s="1"/>
  <c r="J396" i="54"/>
  <c r="K396" i="54" s="1"/>
  <c r="J397" i="54"/>
  <c r="K397" i="54" s="1"/>
  <c r="J398" i="54"/>
  <c r="K398" i="54" s="1"/>
  <c r="J399" i="54"/>
  <c r="K399" i="54" s="1"/>
  <c r="J400" i="54"/>
  <c r="K400" i="54" s="1"/>
  <c r="J401" i="54"/>
  <c r="K401" i="54" s="1"/>
  <c r="J402" i="54"/>
  <c r="K402" i="54" s="1"/>
  <c r="J403" i="54"/>
  <c r="K403" i="54" s="1"/>
  <c r="J404" i="54"/>
  <c r="K404" i="54" s="1"/>
  <c r="J405" i="54"/>
  <c r="K405" i="54" s="1"/>
  <c r="J406" i="54"/>
  <c r="K406" i="54" s="1"/>
  <c r="J407" i="54"/>
  <c r="K407" i="54" s="1"/>
  <c r="J408" i="54"/>
  <c r="K408" i="54" s="1"/>
  <c r="J409" i="54"/>
  <c r="K409" i="54" s="1"/>
  <c r="J410" i="54"/>
  <c r="K410" i="54" s="1"/>
  <c r="J411" i="54"/>
  <c r="K411" i="54" s="1"/>
  <c r="J412" i="54"/>
  <c r="K412" i="54" s="1"/>
  <c r="J413" i="54"/>
  <c r="K413" i="54" s="1"/>
  <c r="J414" i="54"/>
  <c r="K414" i="54" s="1"/>
  <c r="J415" i="54"/>
  <c r="K415" i="54" s="1"/>
  <c r="J416" i="54"/>
  <c r="K416" i="54" s="1"/>
  <c r="J417" i="54"/>
  <c r="K417" i="54" s="1"/>
  <c r="J418" i="54"/>
  <c r="K418" i="54" s="1"/>
  <c r="J419" i="54"/>
  <c r="K419" i="54" s="1"/>
  <c r="J420" i="54"/>
  <c r="K420" i="54" s="1"/>
  <c r="J421" i="54"/>
  <c r="K421" i="54" s="1"/>
  <c r="J422" i="54"/>
  <c r="K422" i="54" s="1"/>
  <c r="J423" i="54"/>
  <c r="K423" i="54" s="1"/>
  <c r="J424" i="54"/>
  <c r="K424" i="54" s="1"/>
  <c r="J425" i="54"/>
  <c r="K425" i="54" s="1"/>
  <c r="J426" i="54"/>
  <c r="K426" i="54" s="1"/>
  <c r="J427" i="54"/>
  <c r="K427" i="54" s="1"/>
  <c r="J428" i="54"/>
  <c r="K428" i="54" s="1"/>
  <c r="J429" i="54"/>
  <c r="K429" i="54" s="1"/>
  <c r="J430" i="54"/>
  <c r="K430" i="54" s="1"/>
  <c r="J431" i="54"/>
  <c r="K431" i="54" s="1"/>
  <c r="J432" i="54"/>
  <c r="K432" i="54" s="1"/>
  <c r="J433" i="54"/>
  <c r="K433" i="54" s="1"/>
  <c r="J434" i="54"/>
  <c r="K434" i="54" s="1"/>
  <c r="J435" i="54"/>
  <c r="K435" i="54" s="1"/>
  <c r="J436" i="54"/>
  <c r="K436" i="54" s="1"/>
  <c r="J437" i="54"/>
  <c r="K437" i="54" s="1"/>
  <c r="J438" i="54"/>
  <c r="K438" i="54" s="1"/>
  <c r="J439" i="54"/>
  <c r="K439" i="54" s="1"/>
  <c r="J440" i="54"/>
  <c r="K440" i="54" s="1"/>
  <c r="J441" i="54"/>
  <c r="K441" i="54" s="1"/>
  <c r="J442" i="54"/>
  <c r="K442" i="54" s="1"/>
  <c r="J443" i="54"/>
  <c r="K443" i="54" s="1"/>
  <c r="J444" i="54"/>
  <c r="K444" i="54" s="1"/>
  <c r="J445" i="54"/>
  <c r="K445" i="54" s="1"/>
  <c r="J446" i="54"/>
  <c r="K446" i="54" s="1"/>
  <c r="J447" i="54"/>
  <c r="K447" i="54" s="1"/>
  <c r="J448" i="54"/>
  <c r="K448" i="54" s="1"/>
  <c r="J449" i="54"/>
  <c r="K449" i="54" s="1"/>
  <c r="J450" i="54"/>
  <c r="K450" i="54" s="1"/>
  <c r="J451" i="54"/>
  <c r="K451" i="54" s="1"/>
  <c r="J452" i="54"/>
  <c r="K452" i="54" s="1"/>
  <c r="J453" i="54"/>
  <c r="K453" i="54" s="1"/>
  <c r="J454" i="54"/>
  <c r="K454" i="54" s="1"/>
  <c r="J455" i="54"/>
  <c r="K455" i="54" s="1"/>
  <c r="J456" i="54"/>
  <c r="K456" i="54" s="1"/>
  <c r="J457" i="54"/>
  <c r="K457" i="54" s="1"/>
  <c r="J458" i="54"/>
  <c r="K458" i="54" s="1"/>
  <c r="J459" i="54"/>
  <c r="K459" i="54" s="1"/>
  <c r="J460" i="54"/>
  <c r="K460" i="54" s="1"/>
  <c r="J461" i="54"/>
  <c r="K461" i="54" s="1"/>
  <c r="J462" i="54"/>
  <c r="K462" i="54" s="1"/>
  <c r="J463" i="54"/>
  <c r="K463" i="54" s="1"/>
  <c r="J464" i="54"/>
  <c r="K464" i="54" s="1"/>
  <c r="J465" i="54"/>
  <c r="K465" i="54" s="1"/>
  <c r="J466" i="54"/>
  <c r="K466" i="54" s="1"/>
  <c r="J467" i="54"/>
  <c r="K467" i="54" s="1"/>
  <c r="J468" i="54"/>
  <c r="K468" i="54" s="1"/>
  <c r="J469" i="54"/>
  <c r="K469" i="54" s="1"/>
  <c r="J470" i="54"/>
  <c r="K470" i="54" s="1"/>
  <c r="J471" i="54"/>
  <c r="K471" i="54" s="1"/>
  <c r="J472" i="54"/>
  <c r="K472" i="54" s="1"/>
  <c r="J473" i="54"/>
  <c r="K473" i="54" s="1"/>
  <c r="J474" i="54"/>
  <c r="K474" i="54" s="1"/>
  <c r="J475" i="54"/>
  <c r="K475" i="54" s="1"/>
  <c r="J476" i="54"/>
  <c r="K476" i="54" s="1"/>
  <c r="J477" i="54"/>
  <c r="K477" i="54" s="1"/>
  <c r="J478" i="54"/>
  <c r="K478" i="54" s="1"/>
  <c r="J479" i="54"/>
  <c r="K479" i="54" s="1"/>
  <c r="J480" i="54"/>
  <c r="K480" i="54" s="1"/>
  <c r="J481" i="54"/>
  <c r="K481" i="54" s="1"/>
  <c r="J482" i="54"/>
  <c r="K482" i="54" s="1"/>
  <c r="J483" i="54"/>
  <c r="K483" i="54" s="1"/>
  <c r="J484" i="54"/>
  <c r="K484" i="54" s="1"/>
  <c r="J485" i="54"/>
  <c r="K485" i="54" s="1"/>
  <c r="J486" i="54"/>
  <c r="K486" i="54" s="1"/>
  <c r="J487" i="54"/>
  <c r="K487" i="54" s="1"/>
  <c r="J488" i="54"/>
  <c r="K488" i="54" s="1"/>
  <c r="J489" i="54"/>
  <c r="K489" i="54" s="1"/>
  <c r="J490" i="54"/>
  <c r="K490" i="54" s="1"/>
  <c r="J491" i="54"/>
  <c r="K491" i="54" s="1"/>
  <c r="J492" i="54"/>
  <c r="K492" i="54" s="1"/>
  <c r="J493" i="54"/>
  <c r="K493" i="54" s="1"/>
  <c r="J494" i="54"/>
  <c r="K494" i="54" s="1"/>
  <c r="J495" i="54"/>
  <c r="K495" i="54" s="1"/>
  <c r="J496" i="54"/>
  <c r="K496" i="54" s="1"/>
  <c r="J497" i="54"/>
  <c r="K497" i="54" s="1"/>
  <c r="J498" i="54"/>
  <c r="K498" i="54" s="1"/>
  <c r="J499" i="54"/>
  <c r="K499" i="54" s="1"/>
  <c r="J500" i="54"/>
  <c r="K500" i="54" s="1"/>
  <c r="K24" i="54"/>
  <c r="K501" i="54" l="1"/>
  <c r="B15" i="2"/>
  <c r="B12" i="2"/>
  <c r="B10" i="2"/>
  <c r="B19" i="2"/>
  <c r="B21" i="2"/>
  <c r="B11" i="2"/>
  <c r="B16" i="2"/>
  <c r="B9" i="2"/>
  <c r="B18" i="2"/>
  <c r="B22" i="2" l="1"/>
  <c r="C20" i="44"/>
  <c r="C16" i="44"/>
  <c r="G35" i="59"/>
  <c r="G34" i="59"/>
  <c r="G33" i="59"/>
  <c r="G32" i="59"/>
  <c r="G31" i="59"/>
  <c r="G30" i="59"/>
  <c r="G29" i="59"/>
  <c r="G28" i="59"/>
  <c r="G27" i="59"/>
  <c r="G26" i="59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B7" i="59"/>
  <c r="C7" i="44"/>
  <c r="C13" i="44"/>
  <c r="C3" i="44"/>
  <c r="C18" i="44"/>
  <c r="C19" i="44"/>
  <c r="C12" i="44"/>
  <c r="C2" i="44"/>
  <c r="C27" i="44"/>
  <c r="C30" i="44"/>
  <c r="C21" i="44"/>
  <c r="C5" i="44"/>
  <c r="C9" i="44"/>
  <c r="C23" i="44"/>
  <c r="C26" i="44"/>
  <c r="C15" i="44"/>
  <c r="C6" i="44"/>
  <c r="C29" i="44"/>
  <c r="C22" i="44"/>
  <c r="C25" i="44"/>
  <c r="C24" i="44"/>
  <c r="C8" i="44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9" i="43"/>
  <c r="B7" i="51"/>
  <c r="B7" i="50"/>
  <c r="B7" i="1"/>
  <c r="G37" i="59" l="1"/>
  <c r="G38" i="59" s="1"/>
  <c r="G39" i="59" s="1"/>
  <c r="G9" i="47"/>
  <c r="G10" i="1" l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G35" i="52"/>
  <c r="G34" i="52"/>
  <c r="G33" i="52"/>
  <c r="G32" i="52"/>
  <c r="G31" i="52"/>
  <c r="G30" i="52"/>
  <c r="G29" i="52"/>
  <c r="G28" i="52"/>
  <c r="G27" i="52"/>
  <c r="G26" i="52"/>
  <c r="G25" i="52"/>
  <c r="G24" i="52"/>
  <c r="G23" i="52"/>
  <c r="G22" i="52"/>
  <c r="G21" i="52"/>
  <c r="G20" i="52"/>
  <c r="G19" i="52"/>
  <c r="G18" i="52"/>
  <c r="G17" i="52"/>
  <c r="G16" i="52"/>
  <c r="G15" i="52"/>
  <c r="G14" i="52"/>
  <c r="G13" i="52"/>
  <c r="G12" i="52"/>
  <c r="G11" i="52"/>
  <c r="G10" i="52"/>
  <c r="G9" i="52"/>
  <c r="G35" i="51"/>
  <c r="G34" i="51"/>
  <c r="G33" i="51"/>
  <c r="G32" i="51"/>
  <c r="G31" i="51"/>
  <c r="G30" i="51"/>
  <c r="G29" i="51"/>
  <c r="G28" i="51"/>
  <c r="G27" i="51"/>
  <c r="G26" i="51"/>
  <c r="G25" i="51"/>
  <c r="G24" i="51"/>
  <c r="G23" i="51"/>
  <c r="G22" i="51"/>
  <c r="G21" i="51"/>
  <c r="G20" i="51"/>
  <c r="G19" i="51"/>
  <c r="G18" i="51"/>
  <c r="G17" i="51"/>
  <c r="G16" i="51"/>
  <c r="G15" i="51"/>
  <c r="G14" i="51"/>
  <c r="G13" i="51"/>
  <c r="G12" i="51"/>
  <c r="G11" i="51"/>
  <c r="G10" i="51"/>
  <c r="G9" i="51"/>
  <c r="G35" i="50"/>
  <c r="G34" i="50"/>
  <c r="G33" i="50"/>
  <c r="G32" i="50"/>
  <c r="G31" i="50"/>
  <c r="G30" i="50"/>
  <c r="G29" i="50"/>
  <c r="G28" i="50"/>
  <c r="G27" i="50"/>
  <c r="G26" i="50"/>
  <c r="G25" i="50"/>
  <c r="G24" i="50"/>
  <c r="G23" i="50"/>
  <c r="G22" i="50"/>
  <c r="G21" i="50"/>
  <c r="G20" i="50"/>
  <c r="G19" i="50"/>
  <c r="G18" i="50"/>
  <c r="G17" i="50"/>
  <c r="G16" i="50"/>
  <c r="G15" i="50"/>
  <c r="G14" i="50"/>
  <c r="G13" i="50"/>
  <c r="G12" i="50"/>
  <c r="G11" i="50"/>
  <c r="G10" i="50"/>
  <c r="G9" i="50"/>
  <c r="J9" i="49"/>
  <c r="J10" i="49"/>
  <c r="J11" i="49"/>
  <c r="J12" i="49"/>
  <c r="J13" i="49"/>
  <c r="J14" i="49"/>
  <c r="J15" i="49"/>
  <c r="J16" i="49"/>
  <c r="J17" i="49"/>
  <c r="J18" i="49"/>
  <c r="J19" i="49"/>
  <c r="J20" i="49"/>
  <c r="J21" i="49"/>
  <c r="J22" i="49"/>
  <c r="J23" i="49"/>
  <c r="J24" i="49"/>
  <c r="J25" i="49"/>
  <c r="J26" i="49"/>
  <c r="J27" i="49"/>
  <c r="J28" i="49"/>
  <c r="J29" i="49"/>
  <c r="J30" i="49"/>
  <c r="J31" i="49"/>
  <c r="J32" i="49"/>
  <c r="J33" i="49"/>
  <c r="J34" i="49"/>
  <c r="J35" i="49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9" i="48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7" i="52" l="1"/>
  <c r="G38" i="52" s="1"/>
  <c r="G39" i="52" s="1"/>
  <c r="G37" i="48"/>
  <c r="G38" i="48" s="1"/>
  <c r="G39" i="48" s="1"/>
  <c r="G37" i="50"/>
  <c r="G38" i="50" s="1"/>
  <c r="G39" i="50" s="1"/>
  <c r="G37" i="43"/>
  <c r="G38" i="43" s="1"/>
  <c r="G39" i="43" s="1"/>
  <c r="G37" i="47"/>
  <c r="G38" i="47" s="1"/>
  <c r="G39" i="47" s="1"/>
  <c r="G37" i="51"/>
  <c r="G38" i="51" s="1"/>
  <c r="G39" i="51" s="1"/>
  <c r="H37" i="49"/>
  <c r="H38" i="49" s="1"/>
  <c r="H39" i="49" s="1"/>
  <c r="G37" i="1"/>
  <c r="G38" i="1" s="1"/>
  <c r="G39" i="1" s="1"/>
  <c r="T946" i="38"/>
  <c r="T882" i="38"/>
  <c r="T760" i="38"/>
  <c r="T636" i="38"/>
  <c r="T958" i="38"/>
  <c r="T942" i="38"/>
  <c r="T926" i="38"/>
  <c r="T910" i="38"/>
  <c r="T894" i="38"/>
  <c r="T878" i="38"/>
  <c r="T848" i="38"/>
  <c r="T816" i="38"/>
  <c r="T784" i="38"/>
  <c r="T752" i="38"/>
  <c r="T720" i="38"/>
  <c r="T684" i="38"/>
  <c r="T620" i="38"/>
  <c r="T962" i="38"/>
  <c r="T914" i="38"/>
  <c r="T856" i="38"/>
  <c r="T792" i="38"/>
  <c r="T696" i="38"/>
  <c r="T954" i="38"/>
  <c r="T938" i="38"/>
  <c r="T922" i="38"/>
  <c r="T906" i="38"/>
  <c r="T890" i="38"/>
  <c r="T872" i="38"/>
  <c r="T840" i="38"/>
  <c r="T808" i="38"/>
  <c r="T776" i="38"/>
  <c r="T744" i="38"/>
  <c r="T712" i="38"/>
  <c r="T668" i="38"/>
  <c r="T930" i="38"/>
  <c r="T898" i="38"/>
  <c r="T824" i="38"/>
  <c r="T728" i="38"/>
  <c r="T950" i="38"/>
  <c r="T934" i="38"/>
  <c r="T918" i="38"/>
  <c r="T902" i="38"/>
  <c r="T886" i="38"/>
  <c r="T864" i="38"/>
  <c r="T832" i="38"/>
  <c r="T800" i="38"/>
  <c r="T768" i="38"/>
  <c r="T736" i="38"/>
  <c r="T704" i="38"/>
  <c r="T652" i="38"/>
  <c r="T604" i="38"/>
  <c r="T588" i="38"/>
  <c r="T572" i="38"/>
  <c r="T556" i="38"/>
  <c r="T540" i="38"/>
  <c r="T524" i="38"/>
  <c r="T511" i="38"/>
  <c r="T495" i="38"/>
  <c r="T479" i="38"/>
  <c r="T462" i="38"/>
  <c r="T332" i="38"/>
  <c r="T434" i="38"/>
  <c r="T409" i="38"/>
  <c r="T393" i="38"/>
  <c r="T377" i="38"/>
  <c r="T360" i="38"/>
  <c r="T348" i="38"/>
  <c r="T421" i="38"/>
  <c r="T961" i="38"/>
  <c r="T957" i="38"/>
  <c r="T953" i="38"/>
  <c r="T949" i="38"/>
  <c r="T945" i="38"/>
  <c r="T941" i="38"/>
  <c r="T937" i="38"/>
  <c r="T933" i="38"/>
  <c r="T929" i="38"/>
  <c r="T925" i="38"/>
  <c r="T921" i="38"/>
  <c r="T917" i="38"/>
  <c r="T913" i="38"/>
  <c r="T909" i="38"/>
  <c r="T905" i="38"/>
  <c r="T901" i="38"/>
  <c r="T897" i="38"/>
  <c r="T893" i="38"/>
  <c r="T889" i="38"/>
  <c r="T885" i="38"/>
  <c r="T881" i="38"/>
  <c r="T877" i="38"/>
  <c r="T869" i="38"/>
  <c r="T861" i="38"/>
  <c r="T853" i="38"/>
  <c r="T845" i="38"/>
  <c r="T837" i="38"/>
  <c r="T829" i="38"/>
  <c r="T821" i="38"/>
  <c r="T813" i="38"/>
  <c r="T805" i="38"/>
  <c r="T797" i="38"/>
  <c r="T789" i="38"/>
  <c r="T781" i="38"/>
  <c r="T773" i="38"/>
  <c r="T765" i="38"/>
  <c r="T757" i="38"/>
  <c r="T749" i="38"/>
  <c r="T741" i="38"/>
  <c r="T733" i="38"/>
  <c r="T725" i="38"/>
  <c r="T717" i="38"/>
  <c r="T709" i="38"/>
  <c r="T701" i="38"/>
  <c r="T693" i="38"/>
  <c r="T680" i="38"/>
  <c r="T664" i="38"/>
  <c r="T648" i="38"/>
  <c r="T632" i="38"/>
  <c r="T616" i="38"/>
  <c r="T600" i="38"/>
  <c r="T584" i="38"/>
  <c r="T568" i="38"/>
  <c r="T552" i="38"/>
  <c r="T536" i="38"/>
  <c r="T507" i="38"/>
  <c r="T491" i="38"/>
  <c r="T463" i="38"/>
  <c r="T475" i="38"/>
  <c r="T445" i="38"/>
  <c r="T427" i="38"/>
  <c r="T439" i="38"/>
  <c r="T405" i="38"/>
  <c r="T389" i="38"/>
  <c r="T373" i="38"/>
  <c r="T355" i="38"/>
  <c r="T344" i="38"/>
  <c r="T324" i="38"/>
  <c r="T326" i="38"/>
  <c r="T960" i="38"/>
  <c r="T952" i="38"/>
  <c r="T940" i="38"/>
  <c r="T932" i="38"/>
  <c r="T924" i="38"/>
  <c r="T916" i="38"/>
  <c r="T908" i="38"/>
  <c r="T900" i="38"/>
  <c r="T892" i="38"/>
  <c r="T880" i="38"/>
  <c r="T868" i="38"/>
  <c r="T852" i="38"/>
  <c r="T836" i="38"/>
  <c r="T812" i="38"/>
  <c r="T796" i="38"/>
  <c r="T772" i="38"/>
  <c r="T756" i="38"/>
  <c r="T740" i="38"/>
  <c r="T724" i="38"/>
  <c r="T708" i="38"/>
  <c r="T692" i="38"/>
  <c r="T660" i="38"/>
  <c r="T628" i="38"/>
  <c r="T596" i="38"/>
  <c r="T580" i="38"/>
  <c r="T548" i="38"/>
  <c r="T532" i="38"/>
  <c r="T518" i="38"/>
  <c r="T503" i="38"/>
  <c r="T487" i="38"/>
  <c r="T481" i="38"/>
  <c r="T456" i="38"/>
  <c r="T313" i="38"/>
  <c r="T251" i="38"/>
  <c r="T448" i="38"/>
  <c r="T401" i="38"/>
  <c r="T385" i="38"/>
  <c r="T369" i="38"/>
  <c r="T351" i="38"/>
  <c r="T340" i="38"/>
  <c r="T282" i="38"/>
  <c r="T322" i="38"/>
  <c r="T964" i="38"/>
  <c r="T956" i="38"/>
  <c r="T948" i="38"/>
  <c r="T944" i="38"/>
  <c r="T936" i="38"/>
  <c r="T928" i="38"/>
  <c r="T920" i="38"/>
  <c r="T912" i="38"/>
  <c r="T904" i="38"/>
  <c r="T896" i="38"/>
  <c r="T888" i="38"/>
  <c r="T884" i="38"/>
  <c r="T876" i="38"/>
  <c r="T860" i="38"/>
  <c r="T844" i="38"/>
  <c r="T828" i="38"/>
  <c r="T820" i="38"/>
  <c r="T804" i="38"/>
  <c r="T788" i="38"/>
  <c r="T780" i="38"/>
  <c r="T764" i="38"/>
  <c r="T748" i="38"/>
  <c r="T732" i="38"/>
  <c r="T716" i="38"/>
  <c r="T700" i="38"/>
  <c r="T676" i="38"/>
  <c r="T644" i="38"/>
  <c r="T612" i="38"/>
  <c r="T564" i="38"/>
  <c r="T963" i="38"/>
  <c r="T959" i="38"/>
  <c r="T955" i="38"/>
  <c r="T951" i="38"/>
  <c r="T947" i="38"/>
  <c r="T943" i="38"/>
  <c r="T939" i="38"/>
  <c r="T935" i="38"/>
  <c r="T931" i="38"/>
  <c r="T927" i="38"/>
  <c r="T923" i="38"/>
  <c r="T919" i="38"/>
  <c r="T915" i="38"/>
  <c r="T911" i="38"/>
  <c r="T907" i="38"/>
  <c r="T903" i="38"/>
  <c r="T899" i="38"/>
  <c r="T895" i="38"/>
  <c r="T891" i="38"/>
  <c r="T887" i="38"/>
  <c r="T883" i="38"/>
  <c r="T879" i="38"/>
  <c r="T873" i="38"/>
  <c r="T865" i="38"/>
  <c r="T857" i="38"/>
  <c r="T849" i="38"/>
  <c r="T841" i="38"/>
  <c r="T833" i="38"/>
  <c r="T825" i="38"/>
  <c r="T817" i="38"/>
  <c r="T809" i="38"/>
  <c r="T801" i="38"/>
  <c r="T793" i="38"/>
  <c r="T785" i="38"/>
  <c r="T777" i="38"/>
  <c r="T769" i="38"/>
  <c r="T761" i="38"/>
  <c r="T753" i="38"/>
  <c r="T745" i="38"/>
  <c r="T737" i="38"/>
  <c r="T729" i="38"/>
  <c r="T721" i="38"/>
  <c r="T713" i="38"/>
  <c r="T705" i="38"/>
  <c r="T697" i="38"/>
  <c r="T688" i="38"/>
  <c r="T672" i="38"/>
  <c r="T656" i="38"/>
  <c r="T640" i="38"/>
  <c r="T624" i="38"/>
  <c r="T608" i="38"/>
  <c r="T592" i="38"/>
  <c r="T576" i="38"/>
  <c r="T560" i="38"/>
  <c r="T544" i="38"/>
  <c r="T528" i="38"/>
  <c r="T515" i="38"/>
  <c r="T499" i="38"/>
  <c r="T484" i="38"/>
  <c r="T472" i="38"/>
  <c r="T443" i="38"/>
  <c r="T444" i="38"/>
  <c r="T413" i="38"/>
  <c r="T397" i="38"/>
  <c r="T381" i="38"/>
  <c r="T364" i="38"/>
  <c r="T309" i="38"/>
  <c r="T328" i="38"/>
  <c r="T875" i="38"/>
  <c r="T871" i="38"/>
  <c r="T867" i="38"/>
  <c r="T863" i="38"/>
  <c r="T859" i="38"/>
  <c r="T855" i="38"/>
  <c r="T851" i="38"/>
  <c r="T847" i="38"/>
  <c r="T843" i="38"/>
  <c r="T839" i="38"/>
  <c r="T835" i="38"/>
  <c r="T831" i="38"/>
  <c r="T827" i="38"/>
  <c r="T823" i="38"/>
  <c r="T819" i="38"/>
  <c r="T815" i="38"/>
  <c r="T811" i="38"/>
  <c r="T807" i="38"/>
  <c r="T803" i="38"/>
  <c r="T799" i="38"/>
  <c r="T795" i="38"/>
  <c r="T791" i="38"/>
  <c r="T787" i="38"/>
  <c r="T783" i="38"/>
  <c r="T779" i="38"/>
  <c r="T775" i="38"/>
  <c r="T771" i="38"/>
  <c r="T767" i="38"/>
  <c r="T763" i="38"/>
  <c r="T759" i="38"/>
  <c r="T755" i="38"/>
  <c r="T751" i="38"/>
  <c r="T747" i="38"/>
  <c r="T743" i="38"/>
  <c r="T739" i="38"/>
  <c r="T735" i="38"/>
  <c r="T731" i="38"/>
  <c r="T727" i="38"/>
  <c r="T723" i="38"/>
  <c r="T719" i="38"/>
  <c r="T715" i="38"/>
  <c r="T711" i="38"/>
  <c r="T707" i="38"/>
  <c r="T703" i="38"/>
  <c r="T699" i="38"/>
  <c r="T695" i="38"/>
  <c r="T691" i="38"/>
  <c r="T687" i="38"/>
  <c r="T683" i="38"/>
  <c r="T679" i="38"/>
  <c r="T675" i="38"/>
  <c r="T671" i="38"/>
  <c r="T667" i="38"/>
  <c r="T663" i="38"/>
  <c r="T659" i="38"/>
  <c r="T655" i="38"/>
  <c r="T651" i="38"/>
  <c r="T647" i="38"/>
  <c r="T643" i="38"/>
  <c r="T639" i="38"/>
  <c r="T635" i="38"/>
  <c r="T631" i="38"/>
  <c r="T627" i="38"/>
  <c r="T623" i="38"/>
  <c r="T619" i="38"/>
  <c r="T615" i="38"/>
  <c r="T611" i="38"/>
  <c r="T607" i="38"/>
  <c r="T603" i="38"/>
  <c r="T599" i="38"/>
  <c r="T595" i="38"/>
  <c r="T591" i="38"/>
  <c r="T587" i="38"/>
  <c r="T583" i="38"/>
  <c r="T579" i="38"/>
  <c r="T575" i="38"/>
  <c r="T571" i="38"/>
  <c r="T567" i="38"/>
  <c r="T563" i="38"/>
  <c r="T559" i="38"/>
  <c r="T555" i="38"/>
  <c r="T551" i="38"/>
  <c r="T547" i="38"/>
  <c r="T543" i="38"/>
  <c r="T539" i="38"/>
  <c r="T535" i="38"/>
  <c r="T531" i="38"/>
  <c r="T527" i="38"/>
  <c r="T523" i="38"/>
  <c r="T521" i="38"/>
  <c r="T517" i="38"/>
  <c r="T514" i="38"/>
  <c r="T510" i="38"/>
  <c r="T506" i="38"/>
  <c r="T502" i="38"/>
  <c r="T498" i="38"/>
  <c r="T494" i="38"/>
  <c r="T490" i="38"/>
  <c r="T486" i="38"/>
  <c r="T471" i="38"/>
  <c r="T466" i="38"/>
  <c r="T329" i="38"/>
  <c r="T480" i="38"/>
  <c r="T470" i="38"/>
  <c r="T474" i="38"/>
  <c r="T335" i="38"/>
  <c r="T461" i="38"/>
  <c r="T433" i="38"/>
  <c r="T455" i="38"/>
  <c r="T442" i="38"/>
  <c r="T430" i="38"/>
  <c r="T330" i="38"/>
  <c r="T250" i="38"/>
  <c r="T437" i="38"/>
  <c r="T454" i="38"/>
  <c r="T447" i="38"/>
  <c r="T412" i="38"/>
  <c r="T408" i="38"/>
  <c r="T404" i="38"/>
  <c r="T400" i="38"/>
  <c r="T396" i="38"/>
  <c r="T392" i="38"/>
  <c r="T388" i="38"/>
  <c r="T384" i="38"/>
  <c r="T380" i="38"/>
  <c r="T376" i="38"/>
  <c r="T372" i="38"/>
  <c r="T368" i="38"/>
  <c r="T363" i="38"/>
  <c r="T358" i="38"/>
  <c r="T354" i="38"/>
  <c r="T350" i="38"/>
  <c r="T347" i="38"/>
  <c r="T343" i="38"/>
  <c r="T339" i="38"/>
  <c r="T289" i="38"/>
  <c r="T419" i="38"/>
  <c r="T44" i="38"/>
  <c r="T248" i="38"/>
  <c r="T425" i="38"/>
  <c r="T416" i="38"/>
  <c r="T325" i="38"/>
  <c r="T874" i="38"/>
  <c r="T870" i="38"/>
  <c r="T866" i="38"/>
  <c r="T862" i="38"/>
  <c r="T858" i="38"/>
  <c r="T854" i="38"/>
  <c r="T850" i="38"/>
  <c r="T846" i="38"/>
  <c r="T842" i="38"/>
  <c r="T838" i="38"/>
  <c r="T834" i="38"/>
  <c r="T830" i="38"/>
  <c r="T826" i="38"/>
  <c r="T822" i="38"/>
  <c r="T818" i="38"/>
  <c r="T814" i="38"/>
  <c r="T810" i="38"/>
  <c r="T806" i="38"/>
  <c r="T802" i="38"/>
  <c r="T798" i="38"/>
  <c r="T794" i="38"/>
  <c r="T790" i="38"/>
  <c r="T786" i="38"/>
  <c r="T782" i="38"/>
  <c r="T778" i="38"/>
  <c r="T774" i="38"/>
  <c r="T770" i="38"/>
  <c r="T766" i="38"/>
  <c r="T762" i="38"/>
  <c r="T758" i="38"/>
  <c r="T754" i="38"/>
  <c r="T750" i="38"/>
  <c r="T746" i="38"/>
  <c r="T742" i="38"/>
  <c r="T738" i="38"/>
  <c r="T734" i="38"/>
  <c r="T730" i="38"/>
  <c r="T726" i="38"/>
  <c r="T722" i="38"/>
  <c r="T718" i="38"/>
  <c r="T714" i="38"/>
  <c r="T710" i="38"/>
  <c r="T706" i="38"/>
  <c r="T702" i="38"/>
  <c r="T698" i="38"/>
  <c r="T694" i="38"/>
  <c r="T690" i="38"/>
  <c r="T686" i="38"/>
  <c r="T682" i="38"/>
  <c r="T678" i="38"/>
  <c r="T674" i="38"/>
  <c r="T670" i="38"/>
  <c r="T666" i="38"/>
  <c r="T662" i="38"/>
  <c r="T658" i="38"/>
  <c r="T654" i="38"/>
  <c r="T650" i="38"/>
  <c r="T646" i="38"/>
  <c r="T642" i="38"/>
  <c r="T638" i="38"/>
  <c r="T634" i="38"/>
  <c r="T630" i="38"/>
  <c r="T626" i="38"/>
  <c r="T622" i="38"/>
  <c r="T618" i="38"/>
  <c r="T614" i="38"/>
  <c r="T610" i="38"/>
  <c r="T606" i="38"/>
  <c r="T602" i="38"/>
  <c r="T598" i="38"/>
  <c r="T594" i="38"/>
  <c r="T590" i="38"/>
  <c r="T586" i="38"/>
  <c r="T582" i="38"/>
  <c r="T578" i="38"/>
  <c r="T574" i="38"/>
  <c r="T570" i="38"/>
  <c r="T566" i="38"/>
  <c r="T562" i="38"/>
  <c r="T558" i="38"/>
  <c r="T554" i="38"/>
  <c r="T550" i="38"/>
  <c r="T546" i="38"/>
  <c r="T542" i="38"/>
  <c r="T538" i="38"/>
  <c r="T534" i="38"/>
  <c r="T530" i="38"/>
  <c r="T526" i="38"/>
  <c r="T522" i="38"/>
  <c r="T520" i="38"/>
  <c r="T513" i="38"/>
  <c r="T509" i="38"/>
  <c r="T505" i="38"/>
  <c r="T501" i="38"/>
  <c r="T497" i="38"/>
  <c r="T493" i="38"/>
  <c r="T489" i="38"/>
  <c r="T485" i="38"/>
  <c r="T468" i="38"/>
  <c r="T465" i="38"/>
  <c r="T211" i="38"/>
  <c r="T478" i="38"/>
  <c r="T469" i="38"/>
  <c r="T477" i="38"/>
  <c r="T458" i="38"/>
  <c r="T334" i="38"/>
  <c r="T460" i="38"/>
  <c r="T432" i="38"/>
  <c r="T451" i="38"/>
  <c r="T438" i="38"/>
  <c r="T429" i="38"/>
  <c r="T283" i="38"/>
  <c r="T449" i="38"/>
  <c r="T440" i="38"/>
  <c r="T453" i="38"/>
  <c r="T441" i="38"/>
  <c r="T411" i="38"/>
  <c r="T407" i="38"/>
  <c r="T403" i="38"/>
  <c r="T399" i="38"/>
  <c r="T395" i="38"/>
  <c r="T391" i="38"/>
  <c r="T387" i="38"/>
  <c r="T383" i="38"/>
  <c r="T379" i="38"/>
  <c r="T375" i="38"/>
  <c r="T371" i="38"/>
  <c r="T367" i="38"/>
  <c r="T362" i="38"/>
  <c r="T357" i="38"/>
  <c r="T353" i="38"/>
  <c r="T349" i="38"/>
  <c r="T346" i="38"/>
  <c r="T342" i="38"/>
  <c r="T418" i="38"/>
  <c r="T423" i="38"/>
  <c r="T365" i="38"/>
  <c r="T426" i="38"/>
  <c r="T247" i="38"/>
  <c r="T415" i="38"/>
  <c r="T323" i="38"/>
  <c r="T689" i="38"/>
  <c r="T685" i="38"/>
  <c r="T681" i="38"/>
  <c r="T677" i="38"/>
  <c r="T673" i="38"/>
  <c r="T669" i="38"/>
  <c r="T665" i="38"/>
  <c r="T661" i="38"/>
  <c r="T657" i="38"/>
  <c r="T653" i="38"/>
  <c r="T649" i="38"/>
  <c r="T645" i="38"/>
  <c r="T641" i="38"/>
  <c r="T637" i="38"/>
  <c r="T633" i="38"/>
  <c r="T629" i="38"/>
  <c r="T625" i="38"/>
  <c r="T621" i="38"/>
  <c r="T617" i="38"/>
  <c r="T613" i="38"/>
  <c r="T609" i="38"/>
  <c r="T605" i="38"/>
  <c r="T601" i="38"/>
  <c r="T597" i="38"/>
  <c r="T593" i="38"/>
  <c r="T589" i="38"/>
  <c r="T585" i="38"/>
  <c r="T581" i="38"/>
  <c r="T577" i="38"/>
  <c r="T573" i="38"/>
  <c r="T569" i="38"/>
  <c r="T565" i="38"/>
  <c r="T561" i="38"/>
  <c r="T557" i="38"/>
  <c r="T553" i="38"/>
  <c r="T549" i="38"/>
  <c r="T545" i="38"/>
  <c r="T541" i="38"/>
  <c r="T537" i="38"/>
  <c r="T533" i="38"/>
  <c r="T529" i="38"/>
  <c r="T525" i="38"/>
  <c r="T519" i="38"/>
  <c r="T516" i="38"/>
  <c r="T512" i="38"/>
  <c r="T508" i="38"/>
  <c r="T504" i="38"/>
  <c r="T500" i="38"/>
  <c r="T496" i="38"/>
  <c r="T492" i="38"/>
  <c r="T488" i="38"/>
  <c r="T336" i="38"/>
  <c r="T483" i="38"/>
  <c r="T464" i="38"/>
  <c r="T482" i="38"/>
  <c r="T473" i="38"/>
  <c r="T467" i="38"/>
  <c r="T476" i="38"/>
  <c r="T457" i="38"/>
  <c r="T333" i="38"/>
  <c r="T459" i="38"/>
  <c r="T431" i="38"/>
  <c r="T450" i="38"/>
  <c r="T436" i="38"/>
  <c r="T428" i="38"/>
  <c r="T327" i="38"/>
  <c r="T446" i="38"/>
  <c r="T452" i="38"/>
  <c r="T435" i="38"/>
  <c r="T410" i="38"/>
  <c r="T406" i="38"/>
  <c r="T402" i="38"/>
  <c r="T398" i="38"/>
  <c r="T394" i="38"/>
  <c r="T390" i="38"/>
  <c r="T386" i="38"/>
  <c r="T382" i="38"/>
  <c r="T378" i="38"/>
  <c r="T374" i="38"/>
  <c r="T370" i="38"/>
  <c r="T366" i="38"/>
  <c r="T361" i="38"/>
  <c r="T356" i="38"/>
  <c r="T352" i="38"/>
  <c r="T345" i="38"/>
  <c r="T341" i="38"/>
  <c r="T417" i="38"/>
  <c r="T422" i="38"/>
  <c r="T338" i="38"/>
  <c r="T331" i="38"/>
  <c r="T337" i="38"/>
  <c r="T414" i="38"/>
  <c r="T43" i="38"/>
  <c r="T965" i="38" l="1"/>
</calcChain>
</file>

<file path=xl/sharedStrings.xml><?xml version="1.0" encoding="utf-8"?>
<sst xmlns="http://schemas.openxmlformats.org/spreadsheetml/2006/main" count="5004" uniqueCount="846">
  <si>
    <t xml:space="preserve">FECHA </t>
  </si>
  <si>
    <t>Chof.</t>
  </si>
  <si>
    <t>SUBTOTAL</t>
  </si>
  <si>
    <t>IVA</t>
  </si>
  <si>
    <t>TOTAL</t>
  </si>
  <si>
    <t>CLIENTE</t>
  </si>
  <si>
    <t>DESTINO</t>
  </si>
  <si>
    <t>VALOR</t>
  </si>
  <si>
    <t>MUDANZA</t>
  </si>
  <si>
    <t>CHOFER</t>
  </si>
  <si>
    <t>NRO DE REMITO</t>
  </si>
  <si>
    <t xml:space="preserve">CLIENTE </t>
  </si>
  <si>
    <t>VALOR FINAL</t>
  </si>
  <si>
    <t>CORDOBA</t>
  </si>
  <si>
    <t>DESPACHOS</t>
  </si>
  <si>
    <t>PUERTO</t>
  </si>
  <si>
    <t>DEVOLUCIONES</t>
  </si>
  <si>
    <t>ESPECIALES</t>
  </si>
  <si>
    <t>INSUMOS</t>
  </si>
  <si>
    <t xml:space="preserve">TARIFA </t>
  </si>
  <si>
    <t>NRO. REMITO / FACTURA</t>
  </si>
  <si>
    <t>OBSERV.</t>
  </si>
  <si>
    <t>KILOS TOTALES</t>
  </si>
  <si>
    <t>EXPRESO</t>
  </si>
  <si>
    <t>KILOS</t>
  </si>
  <si>
    <t>TARIFA DESCONSOLIDADO</t>
  </si>
  <si>
    <t>TARIFA TRANSPORTE</t>
  </si>
  <si>
    <t>DIAS ESTADIA</t>
  </si>
  <si>
    <t>IMPORTE TOTAL</t>
  </si>
  <si>
    <t>DETALLE FINAL</t>
  </si>
  <si>
    <t>TARIFA CABA</t>
  </si>
  <si>
    <t>TARIFA INTERIOR</t>
  </si>
  <si>
    <t>IMPORTE FINAL</t>
  </si>
  <si>
    <t xml:space="preserve">TIPO </t>
  </si>
  <si>
    <t>NOMBRE DE CHOFER</t>
  </si>
  <si>
    <t>TIPO DE VIAJE</t>
  </si>
  <si>
    <t>BASE DE DATOS VIAJES</t>
  </si>
  <si>
    <t>OBSERVACIONES</t>
  </si>
  <si>
    <t>OMAR MENDOZA</t>
  </si>
  <si>
    <t>NO</t>
  </si>
  <si>
    <t>NICOLAS FERNANDEZ</t>
  </si>
  <si>
    <t>MAXIMILIANO JAS</t>
  </si>
  <si>
    <t>DARIO GOMEZ</t>
  </si>
  <si>
    <t>CONTRATADO</t>
  </si>
  <si>
    <t>LUCAS MARTINEZ</t>
  </si>
  <si>
    <t>BERAZATEGUI</t>
  </si>
  <si>
    <t>ADRIAN VAZQUEZ</t>
  </si>
  <si>
    <t>NESTOR COREIA</t>
  </si>
  <si>
    <t>GONZALO SALTO</t>
  </si>
  <si>
    <t>ADRIAN NARDONE</t>
  </si>
  <si>
    <t>PROPIO</t>
  </si>
  <si>
    <t>FACTURACION ACUM,</t>
  </si>
  <si>
    <t>RAZON SOCIAL</t>
  </si>
  <si>
    <t>EXPRESO LANCIONI</t>
  </si>
  <si>
    <t>FECHA</t>
  </si>
  <si>
    <t>REMITO</t>
  </si>
  <si>
    <t>PALLETS</t>
  </si>
  <si>
    <t>K VOLUMETRICO</t>
  </si>
  <si>
    <t>ESTADO</t>
  </si>
  <si>
    <t>FECHA DE PAGO</t>
  </si>
  <si>
    <t>NUMERO DE COMPROBANTE</t>
  </si>
  <si>
    <t>DETALLE DE VIAJES A EXPRESOS</t>
  </si>
  <si>
    <t>ID VIAJE</t>
  </si>
  <si>
    <t xml:space="preserve"> </t>
  </si>
  <si>
    <t xml:space="preserve">INDICE </t>
  </si>
  <si>
    <t>BDEXPRESOS</t>
  </si>
  <si>
    <t>BDCHOFERES</t>
  </si>
  <si>
    <t>CBCLIENTES</t>
  </si>
  <si>
    <t>SEGUIMIENTO EXPRESOS</t>
  </si>
  <si>
    <t>RENTABILIDAD</t>
  </si>
  <si>
    <t>BDVIAJES</t>
  </si>
  <si>
    <t xml:space="preserve">ID VIAJE </t>
  </si>
  <si>
    <t xml:space="preserve">EXPRESO </t>
  </si>
  <si>
    <t xml:space="preserve">DESTINO </t>
  </si>
  <si>
    <t>K V3</t>
  </si>
  <si>
    <t>MARGEN DE RENTABILIDAD</t>
  </si>
  <si>
    <t>ENVIOS A PLANTAS</t>
  </si>
  <si>
    <t>WALTER ROMERO</t>
  </si>
  <si>
    <t>SANTIAGO VILLAREAL</t>
  </si>
  <si>
    <t>DESPACHOS DESDE PLANTAS</t>
  </si>
  <si>
    <t xml:space="preserve">RODRIGO </t>
  </si>
  <si>
    <t>MATIAS GAMBUZA</t>
  </si>
  <si>
    <t>INGRESOS DESDE PLANTAS</t>
  </si>
  <si>
    <t>CRISTIAN SUAREZ</t>
  </si>
  <si>
    <t>WALTER PASSE</t>
  </si>
  <si>
    <t>D</t>
  </si>
  <si>
    <t>TOTAL ACUMULADO</t>
  </si>
  <si>
    <t>IMPORTE</t>
  </si>
  <si>
    <t>OSCAR BARTOCCI</t>
  </si>
  <si>
    <t>CARLOS CAMPS</t>
  </si>
  <si>
    <t>ELIAS MARTINEZ</t>
  </si>
  <si>
    <t>RAUL GUARDO</t>
  </si>
  <si>
    <t>TRANSPORTE GONZALES</t>
  </si>
  <si>
    <t>LOCALIDAD</t>
  </si>
  <si>
    <t>PABLO GARIBOTTI</t>
  </si>
  <si>
    <t>TASCAR</t>
  </si>
  <si>
    <t>SHC</t>
  </si>
  <si>
    <t>SI</t>
  </si>
  <si>
    <t>EXPRESO DEMONTE</t>
  </si>
  <si>
    <t xml:space="preserve">TRANSPORTE ALMAFUERTE </t>
  </si>
  <si>
    <t xml:space="preserve">EXPRESO ORO NEGRO </t>
  </si>
  <si>
    <t>EXPRESO MALARGUE - RONIL</t>
  </si>
  <si>
    <t>EXPRESO EL VASQUITO</t>
  </si>
  <si>
    <t xml:space="preserve">TRANS BAN </t>
  </si>
  <si>
    <t>LAS CADENAS</t>
  </si>
  <si>
    <t>EXPRESO CARGO</t>
  </si>
  <si>
    <t>TTE BROAST</t>
  </si>
  <si>
    <t>TTE CARDONE</t>
  </si>
  <si>
    <t>ANDREANI</t>
  </si>
  <si>
    <t>TTE EL PRONVINCIANO</t>
  </si>
  <si>
    <t>TTE CERNEVALLI</t>
  </si>
  <si>
    <t>EXPRESO LAS CADENAS</t>
  </si>
  <si>
    <t>IMPORTE EXPRESOS</t>
  </si>
  <si>
    <t>TARIFA INT</t>
  </si>
  <si>
    <t>IMPORTE FACTURADO INT</t>
  </si>
  <si>
    <t>IMPORTE EXPRESO</t>
  </si>
  <si>
    <t>TTE TARDUCCI</t>
  </si>
  <si>
    <t>CONFALONIERI MARIO OSVALDO</t>
  </si>
  <si>
    <t>EXPRESO NUEVO VALLE</t>
  </si>
  <si>
    <t>EXPRESO SANTA ROSA</t>
  </si>
  <si>
    <t>T.A.S</t>
  </si>
  <si>
    <t>EXPRESO FRONTERA</t>
  </si>
  <si>
    <t>EXPRESO LIDER</t>
  </si>
  <si>
    <t>DIRECTO</t>
  </si>
  <si>
    <t>TRANSPORTE FOR ZAP</t>
  </si>
  <si>
    <t>TRANSPORTE RODRIGUEZ HNOS</t>
  </si>
  <si>
    <t>LAZARO CARGAS</t>
  </si>
  <si>
    <t>EXPRESO ALFA</t>
  </si>
  <si>
    <t xml:space="preserve">EXPRESO BILETTA </t>
  </si>
  <si>
    <t>TRANSPORTE ALEGRE</t>
  </si>
  <si>
    <t>MAXI CARGAS</t>
  </si>
  <si>
    <t>TTE SAUER</t>
  </si>
  <si>
    <t>EXPRESO FULL TRANS</t>
  </si>
  <si>
    <t>RICARDO MATHYS</t>
  </si>
  <si>
    <t>RICARDO FLETERO</t>
  </si>
  <si>
    <t>F.G.B</t>
  </si>
  <si>
    <t>TTE ITALIA</t>
  </si>
  <si>
    <t>COMERCIAL BORIO SA</t>
  </si>
  <si>
    <t>EDUARDO FERNANDEZ</t>
  </si>
  <si>
    <t>EXPRESO CENTAURO</t>
  </si>
  <si>
    <t>TTE DON MAX</t>
  </si>
  <si>
    <t>EXPRESO RIVADAVIA</t>
  </si>
  <si>
    <t>TTE DON OSCAR</t>
  </si>
  <si>
    <t>TTE OT</t>
  </si>
  <si>
    <t>TTE LOGISA</t>
  </si>
  <si>
    <t xml:space="preserve">TARIFA OUT </t>
  </si>
  <si>
    <t>DAPSA-PIBERA</t>
  </si>
  <si>
    <t>COMISIONES NAM</t>
  </si>
  <si>
    <t>ANDRES SANCHEZ</t>
  </si>
  <si>
    <t>MOCSIA</t>
  </si>
  <si>
    <t>GASTON DEFFIS</t>
  </si>
  <si>
    <t xml:space="preserve">TRADELOG </t>
  </si>
  <si>
    <t>TTE TITO HIJO</t>
  </si>
  <si>
    <t>TTE VILLANOVA</t>
  </si>
  <si>
    <t>EXPRESO SAN AURELIO</t>
  </si>
  <si>
    <t>TTE HERAL</t>
  </si>
  <si>
    <t>TTE SNAIDER</t>
  </si>
  <si>
    <t>CARBONI</t>
  </si>
  <si>
    <t>MARTIN AUBEL</t>
  </si>
  <si>
    <t>CURRIOL JORGE PABLO</t>
  </si>
  <si>
    <t>ALMAFUERTE</t>
  </si>
  <si>
    <t>TRANSPORTE ANDREA</t>
  </si>
  <si>
    <t>GONZALEZ</t>
  </si>
  <si>
    <t>ROSARIO-Santa Fe</t>
  </si>
  <si>
    <t>MENDOZA-Mendoza</t>
  </si>
  <si>
    <t>Bahia Blanca-Buenos Aires</t>
  </si>
  <si>
    <t>ULLA MAQUINARIAS S.A.</t>
  </si>
  <si>
    <t>San Francisco-Cordoba</t>
  </si>
  <si>
    <t>RIO CUARTO-Cordoba</t>
  </si>
  <si>
    <t>LISALFER QUINTA S.A</t>
  </si>
  <si>
    <t>SAN AURELIO EXPRESO</t>
  </si>
  <si>
    <t>Mendoza-Mendoza</t>
  </si>
  <si>
    <t>LASAU-PIBERA</t>
  </si>
  <si>
    <t>FORZAP</t>
  </si>
  <si>
    <t>ORTEGA CAMIONES S.A.</t>
  </si>
  <si>
    <t>TRAYKEN S.A.</t>
  </si>
  <si>
    <t>Trenque Lauquen-Buenos Aires</t>
  </si>
  <si>
    <t>PIBERA-DAPSA</t>
  </si>
  <si>
    <t>DOCK SUD</t>
  </si>
  <si>
    <t>Balcarce-Buenos Aires</t>
  </si>
  <si>
    <t>VICENTE MASTROPIERRO S.A.</t>
  </si>
  <si>
    <t>TRANSPORTE FULL TRANS</t>
  </si>
  <si>
    <t>Tandil-Buenos Aires</t>
  </si>
  <si>
    <t>INGRESOS</t>
  </si>
  <si>
    <t>INGRESOS DE PUERTO</t>
  </si>
  <si>
    <t>PUERTO-PIBERA</t>
  </si>
  <si>
    <t>TARIFA IN</t>
  </si>
  <si>
    <t>EXEQUIEL FURYK</t>
  </si>
  <si>
    <t>MAQUINAS DEL CENTRO S.R.L.</t>
  </si>
  <si>
    <t>CENTINELA S.R.L.</t>
  </si>
  <si>
    <t>TIN CAR</t>
  </si>
  <si>
    <t>Concepcion del Uruguay-Entre Rios</t>
  </si>
  <si>
    <t>LA CASA DE LAS COSECHADORAS S.R.L.</t>
  </si>
  <si>
    <t>Junin-Buenos Aires</t>
  </si>
  <si>
    <t>BRUNO SILVIO JOSE</t>
  </si>
  <si>
    <t>Carlos Pellegrini-Santa Fe</t>
  </si>
  <si>
    <t>CARREÑO GUSTAVO JAVIER</t>
  </si>
  <si>
    <t>CARDONE S.A.</t>
  </si>
  <si>
    <t>BETA S.A.(IVECO)</t>
  </si>
  <si>
    <t>DEMAGRO S.R.L.</t>
  </si>
  <si>
    <t>Arequito-Santa Fe</t>
  </si>
  <si>
    <t>Oncativo-Cordoba</t>
  </si>
  <si>
    <t>AVELLANEDA</t>
  </si>
  <si>
    <t>Neuquen-Neuquen</t>
  </si>
  <si>
    <t>YEMA REPUESTOS SRL</t>
  </si>
  <si>
    <t>TRANSPORTE TRANS BAN SA</t>
  </si>
  <si>
    <t>RODRIGUEZ</t>
  </si>
  <si>
    <t>AGRITRUCK S.A.</t>
  </si>
  <si>
    <t>ITALIA</t>
  </si>
  <si>
    <t>Rojas-Buenos Aires</t>
  </si>
  <si>
    <t>LANCIONI</t>
  </si>
  <si>
    <t>0021R00000702</t>
  </si>
  <si>
    <t>0021R00000703</t>
  </si>
  <si>
    <t>ULLA MAQUINARIAS S.A</t>
  </si>
  <si>
    <t>0021R00000704</t>
  </si>
  <si>
    <t>0021R00000725</t>
  </si>
  <si>
    <t>CHAJARI-Entre Rios</t>
  </si>
  <si>
    <t>0021R00000715</t>
  </si>
  <si>
    <t>AGROMAQ VIRDO SA</t>
  </si>
  <si>
    <t>SAN LUIS-San Luis</t>
  </si>
  <si>
    <t>0021R00000728</t>
  </si>
  <si>
    <t>ALMAQ S.A.</t>
  </si>
  <si>
    <t>0021R00000729</t>
  </si>
  <si>
    <t>0021R00000730</t>
  </si>
  <si>
    <t>Tres Arroyos-Buenos Aires</t>
  </si>
  <si>
    <t>0021R00000716</t>
  </si>
  <si>
    <t>FIORASI S.A. (IVECO)</t>
  </si>
  <si>
    <t>NUEVO VALLE</t>
  </si>
  <si>
    <t>0021R00000765</t>
  </si>
  <si>
    <t>0021R00000767</t>
  </si>
  <si>
    <t>Santo Tome-Santa Fe</t>
  </si>
  <si>
    <t>0021R00000768</t>
  </si>
  <si>
    <t>0021R00000772</t>
  </si>
  <si>
    <t>ALVAREZ MAQUINARIAS S.A.</t>
  </si>
  <si>
    <t>Laboulaye-Cordoba</t>
  </si>
  <si>
    <t>0021R00000773</t>
  </si>
  <si>
    <t>PUERTO BS AS</t>
  </si>
  <si>
    <t>-</t>
  </si>
  <si>
    <t>P4-78711</t>
  </si>
  <si>
    <t>PIBERA-CARMOCAL</t>
  </si>
  <si>
    <t xml:space="preserve">F VARELA </t>
  </si>
  <si>
    <t>CARMOCAL-LASAU</t>
  </si>
  <si>
    <t>ESTADIA EN PIBERA</t>
  </si>
  <si>
    <t>EXOLGAN-PIBERA</t>
  </si>
  <si>
    <t>PIBERA-ECOTANCK</t>
  </si>
  <si>
    <t>TIGRE</t>
  </si>
  <si>
    <t>P10-78504</t>
  </si>
  <si>
    <t>TERMINAL 4 - PIBERA</t>
  </si>
  <si>
    <t>F VARELA</t>
  </si>
  <si>
    <t>0021R00000751</t>
  </si>
  <si>
    <t>0021R00000776</t>
  </si>
  <si>
    <t>0021R00000777</t>
  </si>
  <si>
    <t>0021R00000782</t>
  </si>
  <si>
    <t>Santiago del Estero-Sgo del Estero</t>
  </si>
  <si>
    <t>0021R00000784</t>
  </si>
  <si>
    <t>0021R00000785</t>
  </si>
  <si>
    <t>0021R00000790</t>
  </si>
  <si>
    <t>0021R00000791</t>
  </si>
  <si>
    <t>ROSARIO MAQUINAS VIALES SRL</t>
  </si>
  <si>
    <t>SNAIDER</t>
  </si>
  <si>
    <t>Alvear-Santa Fe</t>
  </si>
  <si>
    <t>0021R00000787</t>
  </si>
  <si>
    <t>AGROSUR SACIFIyA (Belgrano)</t>
  </si>
  <si>
    <t>LA RUTA</t>
  </si>
  <si>
    <t>General Belgrano-Buenos Aires</t>
  </si>
  <si>
    <t>0021R00000780</t>
  </si>
  <si>
    <t>0021R00000783</t>
  </si>
  <si>
    <t>0021R00000786</t>
  </si>
  <si>
    <t>0021R00000792</t>
  </si>
  <si>
    <t>0021R00000793</t>
  </si>
  <si>
    <t xml:space="preserve">CALICO </t>
  </si>
  <si>
    <t>WILLIAM MORRIS</t>
  </si>
  <si>
    <t>CONTROLADO</t>
  </si>
  <si>
    <t>NEGRO Y FIGIACCONE</t>
  </si>
  <si>
    <t>DON TORCUATO -BERAZATEGUI</t>
  </si>
  <si>
    <t>QUIMICA TRUE-PIBERA</t>
  </si>
  <si>
    <t>PIBERA-QUIMICA TRUE</t>
  </si>
  <si>
    <t>MONTE GRANDE</t>
  </si>
  <si>
    <t>P12-78515</t>
  </si>
  <si>
    <t>TERMINAL 4 -PIBERA</t>
  </si>
  <si>
    <t>PUERTO BS</t>
  </si>
  <si>
    <t xml:space="preserve">PIBERA-PADILLA </t>
  </si>
  <si>
    <t>CAMPANA</t>
  </si>
  <si>
    <t>PIBERA-DAPSA-PIBERA</t>
  </si>
  <si>
    <t>TERMINAL 4-PIBERA</t>
  </si>
  <si>
    <t>PUERTO BUENOS AIRES</t>
  </si>
  <si>
    <t>P6-78507</t>
  </si>
  <si>
    <t>PIBERA-LASAU-PIBERA</t>
  </si>
  <si>
    <t>PIBERA-PADILLA</t>
  </si>
  <si>
    <t>0021R00000748</t>
  </si>
  <si>
    <t>GUSTAVO EDUARDO MIGNOLA</t>
  </si>
  <si>
    <t>TRANSPORTE TARDUCCI</t>
  </si>
  <si>
    <t>VILLA MARIA-Cordoba</t>
  </si>
  <si>
    <t>0021R00000749</t>
  </si>
  <si>
    <t>PRESMAR S.A.</t>
  </si>
  <si>
    <t>Villa Marteli-GBA Gran Bs As</t>
  </si>
  <si>
    <t>0021R00000796</t>
  </si>
  <si>
    <t>IVECAM S.A.</t>
  </si>
  <si>
    <t>Esteban Echeverria-GBA Gran Bs As</t>
  </si>
  <si>
    <t>0021R00000808</t>
  </si>
  <si>
    <t>CANOVA S.R.L.</t>
  </si>
  <si>
    <t>EXPRESO F.B.G.</t>
  </si>
  <si>
    <t>Santa Fe-Santa Fe</t>
  </si>
  <si>
    <t>0021R00000810</t>
  </si>
  <si>
    <t>0021R00000811</t>
  </si>
  <si>
    <t>MACRO ARGENTINA S.A.</t>
  </si>
  <si>
    <t>LOGISTICA SALTA SRL</t>
  </si>
  <si>
    <t>Salta-Salta</t>
  </si>
  <si>
    <t>0021R00000817</t>
  </si>
  <si>
    <t>San Martin-Buenos Aires</t>
  </si>
  <si>
    <t>0021R00000820</t>
  </si>
  <si>
    <t>AURELIA SACIYF (IVECO)</t>
  </si>
  <si>
    <t>Tortuguitas-GBA Gran Bs As</t>
  </si>
  <si>
    <t>0021R00000822</t>
  </si>
  <si>
    <t>FICAMEN S.A.</t>
  </si>
  <si>
    <t>San Juan-San Juan</t>
  </si>
  <si>
    <t>0021R00000823</t>
  </si>
  <si>
    <t>0021R00000824</t>
  </si>
  <si>
    <t>0021R00000826</t>
  </si>
  <si>
    <t>Maipu-Mendoza</t>
  </si>
  <si>
    <t>0021R00000827</t>
  </si>
  <si>
    <t>0021R00000828</t>
  </si>
  <si>
    <t>0021R00000781</t>
  </si>
  <si>
    <t>PUNTO CERO S.R.L.</t>
  </si>
  <si>
    <t>Cañuelas-Buenos Aires</t>
  </si>
  <si>
    <t>0021R00000794</t>
  </si>
  <si>
    <t>ANTONI S.A.</t>
  </si>
  <si>
    <t>SANTA ROSA</t>
  </si>
  <si>
    <t>Rafaela-Santa Fe</t>
  </si>
  <si>
    <t>0021R00000795</t>
  </si>
  <si>
    <t>DUNLOP ARGENTINA SA</t>
  </si>
  <si>
    <t>BUENOS AIRES-Buenos Aires</t>
  </si>
  <si>
    <t>0021R00000797</t>
  </si>
  <si>
    <t>ABERCAR S.R.L</t>
  </si>
  <si>
    <t>ORO NEGRO</t>
  </si>
  <si>
    <t>Trelew-Chubut</t>
  </si>
  <si>
    <t>0021R00000815</t>
  </si>
  <si>
    <t>DELFER S.R.L.</t>
  </si>
  <si>
    <t>0021R00000816</t>
  </si>
  <si>
    <t>0021R00000818</t>
  </si>
  <si>
    <t>MANASSERO S.A.</t>
  </si>
  <si>
    <t>Victoria-Entre Rios</t>
  </si>
  <si>
    <t>0021R00000819</t>
  </si>
  <si>
    <t>0021R00000821</t>
  </si>
  <si>
    <t>CORDOBA-Cordoba</t>
  </si>
  <si>
    <t>0021R00000735</t>
  </si>
  <si>
    <t>PROCOPIO EMILIANO</t>
  </si>
  <si>
    <t>Moreno-Buenos Aires</t>
  </si>
  <si>
    <t>0021R00000805</t>
  </si>
  <si>
    <t>0021R00000806</t>
  </si>
  <si>
    <t>0021R00000809</t>
  </si>
  <si>
    <t>NAVITRANS DE ARGENTINA S.A</t>
  </si>
  <si>
    <t>0021R00000814</t>
  </si>
  <si>
    <t>AGOSTINO ALEJANDRA TERESA</t>
  </si>
  <si>
    <t>Castelar-Buenos Aires</t>
  </si>
  <si>
    <t>0021R00000825</t>
  </si>
  <si>
    <t>0021R00000745</t>
  </si>
  <si>
    <t>DISTRIBUCIONES MAXOIL LA PLATA SRL</t>
  </si>
  <si>
    <t>La Plata-Buenos Aires</t>
  </si>
  <si>
    <t>0021R00000788</t>
  </si>
  <si>
    <t>0021R00000789</t>
  </si>
  <si>
    <t>0021R00000798</t>
  </si>
  <si>
    <t>AUTOPARTES SOL S.R.L.</t>
  </si>
  <si>
    <t>EXPRESO CENTRAL ARGENTINO</t>
  </si>
  <si>
    <t>Campo Grande-Misiones</t>
  </si>
  <si>
    <t>0021R00000799</t>
  </si>
  <si>
    <t>0021R00000800</t>
  </si>
  <si>
    <t>GILI JUAN CARLOS</t>
  </si>
  <si>
    <t>San Nicolas-Buenos Aires</t>
  </si>
  <si>
    <t>0021R00000801</t>
  </si>
  <si>
    <t>0021R00000812</t>
  </si>
  <si>
    <t>LASAU - PIBERA</t>
  </si>
  <si>
    <t>DAPSA - PIBERA</t>
  </si>
  <si>
    <t>EXPRESO TASCAR</t>
  </si>
  <si>
    <t>PIBERA-LASAU</t>
  </si>
  <si>
    <t>0021R00000839</t>
  </si>
  <si>
    <t>Moreno-GBA Gran Bs As</t>
  </si>
  <si>
    <t>0021R00000840</t>
  </si>
  <si>
    <t>0021R00000831</t>
  </si>
  <si>
    <t>0021R00000832</t>
  </si>
  <si>
    <t>0021R00000843</t>
  </si>
  <si>
    <t>0021R00000844</t>
  </si>
  <si>
    <t>0021R00000867</t>
  </si>
  <si>
    <t>GRUPO ARES SA</t>
  </si>
  <si>
    <t>EXP. CENTAURO</t>
  </si>
  <si>
    <t>0021R00000750</t>
  </si>
  <si>
    <t>VICA NEUMATICOS Y SERVICIOS SA</t>
  </si>
  <si>
    <t>CORRIENTES-Corrientes</t>
  </si>
  <si>
    <t>0021R00000829</t>
  </si>
  <si>
    <t>MIA INDUSTRIAL SRL</t>
  </si>
  <si>
    <t>TTE LOGISA SRL</t>
  </si>
  <si>
    <t>SALTA-Salta</t>
  </si>
  <si>
    <t>0021R00000833</t>
  </si>
  <si>
    <t>0021R00000848</t>
  </si>
  <si>
    <t>LEUM DISTRIBUCIONES SA</t>
  </si>
  <si>
    <t>DON MAX S.A.</t>
  </si>
  <si>
    <t>0021R00000864</t>
  </si>
  <si>
    <t>PIZZOLON PIETRO S.A.</t>
  </si>
  <si>
    <t>TRANSPORTE MAXI CARGAS</t>
  </si>
  <si>
    <t>0021R00000865</t>
  </si>
  <si>
    <t>0021R00000869</t>
  </si>
  <si>
    <t>EXPRESO DEMONTE S.R.L.</t>
  </si>
  <si>
    <t>0021R00000830</t>
  </si>
  <si>
    <t>ANGEL E BIASUSSI S.R.L.</t>
  </si>
  <si>
    <t>Comodoro Rivadavia-Chubut</t>
  </si>
  <si>
    <t>0021R00000852</t>
  </si>
  <si>
    <t>GROSSO TRACTORES SA</t>
  </si>
  <si>
    <t>Bandera-Sgo del Estero</t>
  </si>
  <si>
    <t>0021R00000853</t>
  </si>
  <si>
    <t>GROSSO TRACTORES S.A.</t>
  </si>
  <si>
    <t>0021R00000854</t>
  </si>
  <si>
    <t>0021R00000856</t>
  </si>
  <si>
    <t>San Justo-Santa Fe</t>
  </si>
  <si>
    <t>0021R00000861</t>
  </si>
  <si>
    <t>AGROTERRA S.A.</t>
  </si>
  <si>
    <t>Venado Tuerto-Santa Fe</t>
  </si>
  <si>
    <t>0021R00000862</t>
  </si>
  <si>
    <t>AMTRAC</t>
  </si>
  <si>
    <t>0021R00000863</t>
  </si>
  <si>
    <t>0021R00000868</t>
  </si>
  <si>
    <t>AGRICOLA RAFAELA S A</t>
  </si>
  <si>
    <t>EXPRESO ORO NEGRO</t>
  </si>
  <si>
    <t>0021R00000845</t>
  </si>
  <si>
    <t>MAINE DISTRIBUCIONES S.R.L.</t>
  </si>
  <si>
    <t>BROAST S.R.L.</t>
  </si>
  <si>
    <t>0021R00000846</t>
  </si>
  <si>
    <t>0021R00000847</t>
  </si>
  <si>
    <t>0021R00000855</t>
  </si>
  <si>
    <t>NOLTE RICARDO GERMAN</t>
  </si>
  <si>
    <t>TRANSPORTE SNAIDER</t>
  </si>
  <si>
    <t>Villa Angela-Chaco</t>
  </si>
  <si>
    <t>0021R00000858</t>
  </si>
  <si>
    <t>CUYOPARTS S.R.L.</t>
  </si>
  <si>
    <t>EXP. FRONTERA</t>
  </si>
  <si>
    <t>0021R00000859</t>
  </si>
  <si>
    <t>0021R00000860</t>
  </si>
  <si>
    <t>0021R00000813</t>
  </si>
  <si>
    <t>0021R00000807</t>
  </si>
  <si>
    <t>CIBLES S.A.</t>
  </si>
  <si>
    <t>Hurlingham-Buenos Aires</t>
  </si>
  <si>
    <t>0021R00000841</t>
  </si>
  <si>
    <t>Hurlingham-GBA Gran Bs As</t>
  </si>
  <si>
    <t>0021R00000857</t>
  </si>
  <si>
    <t>Castelar-GBA Gran Bs As</t>
  </si>
  <si>
    <t>BARRACAS-PIBERA</t>
  </si>
  <si>
    <t>PRESMAR</t>
  </si>
  <si>
    <t>VILLA MARTELLI</t>
  </si>
  <si>
    <t>005-22</t>
  </si>
  <si>
    <t>0021R00000747</t>
  </si>
  <si>
    <t>CAMARGO FRANK,Claudio Rodolfo</t>
  </si>
  <si>
    <t>TRANSPORTE TAM</t>
  </si>
  <si>
    <t>San Salvador de Jujuy-Jujuy</t>
  </si>
  <si>
    <t>0021R00000842</t>
  </si>
  <si>
    <t>0021R00000866</t>
  </si>
  <si>
    <t>0021R00000871</t>
  </si>
  <si>
    <t>CAMARGO ADOLFO FABRICIO</t>
  </si>
  <si>
    <t>SAN SALVADOR DE JUJUY-Jujuy</t>
  </si>
  <si>
    <t>0021R00000872</t>
  </si>
  <si>
    <t>0021R00000873</t>
  </si>
  <si>
    <t>0021R00000874</t>
  </si>
  <si>
    <t>0021R00000876</t>
  </si>
  <si>
    <t>0021R00000875</t>
  </si>
  <si>
    <t>INTERCAP S.R.L.</t>
  </si>
  <si>
    <t>Lanus Oeste-Buenos Aires</t>
  </si>
  <si>
    <t>0021R00000877</t>
  </si>
  <si>
    <t>0021R00000878</t>
  </si>
  <si>
    <t>0021R00000880</t>
  </si>
  <si>
    <t>0021R00000882</t>
  </si>
  <si>
    <t>0021R00000883</t>
  </si>
  <si>
    <t>FULL SERVICE SRL</t>
  </si>
  <si>
    <t>Expreso Rivadavia</t>
  </si>
  <si>
    <t>Pacará Pintado-Tucuman</t>
  </si>
  <si>
    <t>0021R00000884</t>
  </si>
  <si>
    <t>0021R00000887</t>
  </si>
  <si>
    <t>RIVERSO ANTONIO ALBERTO</t>
  </si>
  <si>
    <t>CARNEVALI</t>
  </si>
  <si>
    <t>MAR DEL PLATA-Buenos Aires</t>
  </si>
  <si>
    <t>0021R00000888</t>
  </si>
  <si>
    <t>0021R00000889</t>
  </si>
  <si>
    <t>0021R00000890</t>
  </si>
  <si>
    <t>DARDO A LUCERO S.A.C.I.</t>
  </si>
  <si>
    <t>TRANSPORTE CADENAS SA</t>
  </si>
  <si>
    <t>0021R00000891</t>
  </si>
  <si>
    <t>0021R00000892</t>
  </si>
  <si>
    <t>0021R00000894</t>
  </si>
  <si>
    <t>0021R00000897</t>
  </si>
  <si>
    <t>0021R00000900</t>
  </si>
  <si>
    <t>0021R00000902</t>
  </si>
  <si>
    <t>Coronda-Santa Fe</t>
  </si>
  <si>
    <t>0021R00000905</t>
  </si>
  <si>
    <t>0021R00000909</t>
  </si>
  <si>
    <t>0021R00000903</t>
  </si>
  <si>
    <t>CARLOS ANDRETICH S.A.</t>
  </si>
  <si>
    <t>EL PROVINCIANO</t>
  </si>
  <si>
    <t>0021R00000904</t>
  </si>
  <si>
    <t>0021R00000906</t>
  </si>
  <si>
    <t>0021R00000879</t>
  </si>
  <si>
    <t>0021R00000896</t>
  </si>
  <si>
    <t>AGRO DE SOUZA S.A</t>
  </si>
  <si>
    <t>Coronel Suarez-Buenos Aires</t>
  </si>
  <si>
    <t>0021R00000898</t>
  </si>
  <si>
    <t>PETROLERA NORTE OIL CO S.R.L.</t>
  </si>
  <si>
    <t>EXPRESO CARGO S.A.</t>
  </si>
  <si>
    <t>Rosario-Santa Fe</t>
  </si>
  <si>
    <t>0021R00000899</t>
  </si>
  <si>
    <t>0021R00000901</t>
  </si>
  <si>
    <t>MATHIEU ADOLFO OSCAR</t>
  </si>
  <si>
    <t>Azul-Buenos Aires</t>
  </si>
  <si>
    <t>0021R00000907</t>
  </si>
  <si>
    <t>0021R00000910</t>
  </si>
  <si>
    <t>R.Y F. S.R.L.</t>
  </si>
  <si>
    <t>Villa Maria-Cordoba</t>
  </si>
  <si>
    <t>0021R00000911</t>
  </si>
  <si>
    <t>F.L.G. S.A.</t>
  </si>
  <si>
    <t>Cordoba-Cordoba</t>
  </si>
  <si>
    <t>0021R00000849</t>
  </si>
  <si>
    <t>La Plata-GBA Gran Bs As</t>
  </si>
  <si>
    <t>0021R00000850</t>
  </si>
  <si>
    <t>0021R00000851</t>
  </si>
  <si>
    <t>0021R00000870</t>
  </si>
  <si>
    <t>AGV MAQUINAS S.R.L.</t>
  </si>
  <si>
    <t>TRANSPORTE TRADELOG SA</t>
  </si>
  <si>
    <t>0021R00000908</t>
  </si>
  <si>
    <t>PETROGAR S.R.L.</t>
  </si>
  <si>
    <t>FORMOSA S.R.L.</t>
  </si>
  <si>
    <t>Charata-Chaco</t>
  </si>
  <si>
    <t>0021R00000912</t>
  </si>
  <si>
    <t>RECMIL S.A.</t>
  </si>
  <si>
    <t>TRANSPORTE LOS AMIGOS</t>
  </si>
  <si>
    <t>Carhue-Buenos Aires</t>
  </si>
  <si>
    <t>22186-22185</t>
  </si>
  <si>
    <t>CABA</t>
  </si>
  <si>
    <t>0021R00000914</t>
  </si>
  <si>
    <t>ÑIRE MAQUINARIAS Y SERVICIOS S.R.L.</t>
  </si>
  <si>
    <t>0021R00000942</t>
  </si>
  <si>
    <t>MAXI CARGAS S.A.</t>
  </si>
  <si>
    <t>Villa Mercedes-San Luis</t>
  </si>
  <si>
    <t>0021R00000945</t>
  </si>
  <si>
    <t>ALMAFUERTE S.R.L.</t>
  </si>
  <si>
    <t>0021R00000946</t>
  </si>
  <si>
    <t>ALFA</t>
  </si>
  <si>
    <t>0021R00000947</t>
  </si>
  <si>
    <t>0021R00000948</t>
  </si>
  <si>
    <t>0021R00000950</t>
  </si>
  <si>
    <t>VITRASERV S.R.L.</t>
  </si>
  <si>
    <t>Las Talitas-Tucuman</t>
  </si>
  <si>
    <t>0021R00000951</t>
  </si>
  <si>
    <t>0021R00000952</t>
  </si>
  <si>
    <t>AGROEMPRESA MAQ AGRIC S.A.</t>
  </si>
  <si>
    <t>Sinsacate-Cordoba</t>
  </si>
  <si>
    <t>0021R00000953</t>
  </si>
  <si>
    <t>RANI S.A.</t>
  </si>
  <si>
    <t>0021R00000956</t>
  </si>
  <si>
    <t>FABIAN MARTIN DIVISION AUTOMOTORES</t>
  </si>
  <si>
    <t>9 DE JULIO -Buenos Aires</t>
  </si>
  <si>
    <t>002-22</t>
  </si>
  <si>
    <t>AGROEMPRESAS MAQ AGRIC</t>
  </si>
  <si>
    <t>0021R00000935</t>
  </si>
  <si>
    <t>0021R00000939</t>
  </si>
  <si>
    <t>0021R00000915</t>
  </si>
  <si>
    <t>DARIO CARLOS MURNER</t>
  </si>
  <si>
    <t>EXPRESO SAUER</t>
  </si>
  <si>
    <t>Jardin America-Misiones</t>
  </si>
  <si>
    <t>0021R00000917</t>
  </si>
  <si>
    <t>0021R00000938</t>
  </si>
  <si>
    <t>0021R00000955</t>
  </si>
  <si>
    <t>CORNALO GUILLERMO DARIO</t>
  </si>
  <si>
    <t>VILLANOVA</t>
  </si>
  <si>
    <t>Chajari-Entre Rios</t>
  </si>
  <si>
    <t>0021R00000913</t>
  </si>
  <si>
    <t>0021R00000924</t>
  </si>
  <si>
    <t>0021R00000925</t>
  </si>
  <si>
    <t>0021R00000916</t>
  </si>
  <si>
    <t>0021R00000941</t>
  </si>
  <si>
    <t>0021R00000944</t>
  </si>
  <si>
    <t>0021R00000949</t>
  </si>
  <si>
    <t>0021R00000957</t>
  </si>
  <si>
    <t>0021R00000923</t>
  </si>
  <si>
    <t>0021R00000943</t>
  </si>
  <si>
    <t>0021R00000954</t>
  </si>
  <si>
    <t>0021R00000958</t>
  </si>
  <si>
    <t>MULTIORIGINAL PARTS S A</t>
  </si>
  <si>
    <t>ANDREANI LOGISTICA SA</t>
  </si>
  <si>
    <t>BAHIA BLANCA-Buenos Aires</t>
  </si>
  <si>
    <t>P8-78505</t>
  </si>
  <si>
    <t>DOCKSUD</t>
  </si>
  <si>
    <t xml:space="preserve">PIBERA- TTE PADILLA </t>
  </si>
  <si>
    <t>5265-1605</t>
  </si>
  <si>
    <t>PIBERA-DAPSA-LASAU</t>
  </si>
  <si>
    <t>0021R00000802</t>
  </si>
  <si>
    <t>GRUPO BRABO S.R.L.</t>
  </si>
  <si>
    <t>C.A.B.A.-C.A.B.A.</t>
  </si>
  <si>
    <t>0021R00000803</t>
  </si>
  <si>
    <t>0021R00000804</t>
  </si>
  <si>
    <t>0021R00000834</t>
  </si>
  <si>
    <t>0021R00000836</t>
  </si>
  <si>
    <t>0021R00000837</t>
  </si>
  <si>
    <t>0021R00000881</t>
  </si>
  <si>
    <t>0021R00000895</t>
  </si>
  <si>
    <t>0021R00000918</t>
  </si>
  <si>
    <t>0021R00000919</t>
  </si>
  <si>
    <t>0021R00000920</t>
  </si>
  <si>
    <t>0021R00000921</t>
  </si>
  <si>
    <t>0021R00000931</t>
  </si>
  <si>
    <t>0021R00000932</t>
  </si>
  <si>
    <t>0021R00000961</t>
  </si>
  <si>
    <t>0021R00000962</t>
  </si>
  <si>
    <t>0021R00000965</t>
  </si>
  <si>
    <t>SARICO DISTRI S.A.</t>
  </si>
  <si>
    <t>LANCIONI S.A.</t>
  </si>
  <si>
    <t>0021R00000966</t>
  </si>
  <si>
    <t>0021R00000968</t>
  </si>
  <si>
    <t>GRIFFA S.A.</t>
  </si>
  <si>
    <t>Balnearia-Cordoba</t>
  </si>
  <si>
    <t>0021R00000969</t>
  </si>
  <si>
    <t>0021R00000971</t>
  </si>
  <si>
    <t>SEMTRACO S.A</t>
  </si>
  <si>
    <t>Monte Maiz-Cordoba</t>
  </si>
  <si>
    <t>0021R00000936</t>
  </si>
  <si>
    <t>0021R00000937</t>
  </si>
  <si>
    <t>0021R00000959</t>
  </si>
  <si>
    <t>0021R00000963</t>
  </si>
  <si>
    <t>0021R00000967</t>
  </si>
  <si>
    <t>AGRICOLA NOROESTE S.R.L.</t>
  </si>
  <si>
    <t>ESPINOZA</t>
  </si>
  <si>
    <t>COLON-Buenos Aires</t>
  </si>
  <si>
    <t>0021R00000972</t>
  </si>
  <si>
    <t>0021R00000973</t>
  </si>
  <si>
    <t>0021R00000974</t>
  </si>
  <si>
    <t>0021R00000976</t>
  </si>
  <si>
    <t>0021R00000977</t>
  </si>
  <si>
    <t>0021R00000997</t>
  </si>
  <si>
    <t>0021R00001001</t>
  </si>
  <si>
    <t>0021R00001002</t>
  </si>
  <si>
    <t>0021R00000970</t>
  </si>
  <si>
    <t>COVEMA SACIyF</t>
  </si>
  <si>
    <t>Grand Bourg-GBA Gran Bs As</t>
  </si>
  <si>
    <t>0021R00001006</t>
  </si>
  <si>
    <t>0021R00001010</t>
  </si>
  <si>
    <t>CHEVRON ARGENTINA S.R.L.</t>
  </si>
  <si>
    <t>OLIVA HNOS</t>
  </si>
  <si>
    <t>Rincón de los Sauces-Neuquen</t>
  </si>
  <si>
    <t>0021R00001011</t>
  </si>
  <si>
    <t>PUNTO TRUCK S.A.</t>
  </si>
  <si>
    <t>Mar del Plata-Buenos Aires</t>
  </si>
  <si>
    <t>0021R00000979</t>
  </si>
  <si>
    <t>0021R00000988</t>
  </si>
  <si>
    <t>Cañuelas-GBA Gran Bs As</t>
  </si>
  <si>
    <t>0021R00000926</t>
  </si>
  <si>
    <t>0021R00000927</t>
  </si>
  <si>
    <t>0021R00000933</t>
  </si>
  <si>
    <t>0021R00000982</t>
  </si>
  <si>
    <t>0021R00001012</t>
  </si>
  <si>
    <t>Hurlingham-C.A.B.A.</t>
  </si>
  <si>
    <t>0021R00000975</t>
  </si>
  <si>
    <t>0021R00000989</t>
  </si>
  <si>
    <t>0021R00000990</t>
  </si>
  <si>
    <t>VICENTIN NORBERTO D Y VICENTIN MARC</t>
  </si>
  <si>
    <t>TRANSPORTE TITO HIJO</t>
  </si>
  <si>
    <t>Avellaneda-Santa Fe</t>
  </si>
  <si>
    <t>0021R00001005</t>
  </si>
  <si>
    <t>0021R00001007</t>
  </si>
  <si>
    <t>0021R00001008</t>
  </si>
  <si>
    <t>0021R00001009</t>
  </si>
  <si>
    <t>0021R00000940</t>
  </si>
  <si>
    <t>0021R00000960</t>
  </si>
  <si>
    <t>0021R00001003</t>
  </si>
  <si>
    <t>0021R00001004</t>
  </si>
  <si>
    <t>P15-78512</t>
  </si>
  <si>
    <t>6754-6755</t>
  </si>
  <si>
    <t>0021R00000928</t>
  </si>
  <si>
    <t>PIBERA - LASAU</t>
  </si>
  <si>
    <t>P13-78514</t>
  </si>
  <si>
    <t>TERMINAL4-PIBERA</t>
  </si>
  <si>
    <t xml:space="preserve">PIBERA-TTE PADILLA </t>
  </si>
  <si>
    <t>P14-78513</t>
  </si>
  <si>
    <t>0021R00001022</t>
  </si>
  <si>
    <t>0021R00001031</t>
  </si>
  <si>
    <t>0021R00001037</t>
  </si>
  <si>
    <t>INDUSTRIAS METALURGICAS CYS SRL</t>
  </si>
  <si>
    <t>Vicuña Mackenna-Cordoba</t>
  </si>
  <si>
    <t>0021R00001039</t>
  </si>
  <si>
    <t>NORDEMAQ S.A.</t>
  </si>
  <si>
    <t>DEMONTE</t>
  </si>
  <si>
    <t>Resistencia-Chaco</t>
  </si>
  <si>
    <t>0021R00001043</t>
  </si>
  <si>
    <t>PUEBLE S.A</t>
  </si>
  <si>
    <t>0021R00001044</t>
  </si>
  <si>
    <t>FERRERO TRACTORES S.R.L.</t>
  </si>
  <si>
    <t>0021R00001046</t>
  </si>
  <si>
    <t>0021R00001029</t>
  </si>
  <si>
    <t>0021R00001030</t>
  </si>
  <si>
    <t>0021R00001026</t>
  </si>
  <si>
    <t>0021R00001034</t>
  </si>
  <si>
    <t>0021R00001036</t>
  </si>
  <si>
    <t>0021R00001040</t>
  </si>
  <si>
    <t>0021R00000929</t>
  </si>
  <si>
    <t>0021R00000930</t>
  </si>
  <si>
    <t>0021R00000978</t>
  </si>
  <si>
    <t>0021R00000934</t>
  </si>
  <si>
    <t>0021R00000981</t>
  </si>
  <si>
    <t>0021R00001013</t>
  </si>
  <si>
    <t>0021R00001014</t>
  </si>
  <si>
    <t>0021R00001015</t>
  </si>
  <si>
    <t>0021R00001016</t>
  </si>
  <si>
    <t>0021R00001021</t>
  </si>
  <si>
    <t>0021R00001024</t>
  </si>
  <si>
    <t>0021R00001027</t>
  </si>
  <si>
    <t>0021R00001032</t>
  </si>
  <si>
    <t>MARCELO GOTTIG Y CIA</t>
  </si>
  <si>
    <t>AGUILAR</t>
  </si>
  <si>
    <t>Crespo-Entre Rios</t>
  </si>
  <si>
    <t>0021R00001033</t>
  </si>
  <si>
    <t>0021R00001041</t>
  </si>
  <si>
    <t>TRANSUR REFRESCOS S.R.L.</t>
  </si>
  <si>
    <t>NUEVO EXPRESO ALFA S.A</t>
  </si>
  <si>
    <t>0021R00001042</t>
  </si>
  <si>
    <t>0021R00001047</t>
  </si>
  <si>
    <t>0021R00000964</t>
  </si>
  <si>
    <t>0021R00001018</t>
  </si>
  <si>
    <t>LOAS S.A.</t>
  </si>
  <si>
    <t>0021R00001019</t>
  </si>
  <si>
    <t>0021R00001020</t>
  </si>
  <si>
    <t>0021R00001035</t>
  </si>
  <si>
    <t>0021R00001048</t>
  </si>
  <si>
    <t>0021R00001049</t>
  </si>
  <si>
    <t>JULIA MARTINEZ CIARLO</t>
  </si>
  <si>
    <t>0021R00001050</t>
  </si>
  <si>
    <t>0021R00000983</t>
  </si>
  <si>
    <t>0021R00000984</t>
  </si>
  <si>
    <t>0021R00000985</t>
  </si>
  <si>
    <t>0021R00000986</t>
  </si>
  <si>
    <t>PIBERA-CALICO</t>
  </si>
  <si>
    <t>WILLIAN MORRIES</t>
  </si>
  <si>
    <t>0021R00001065</t>
  </si>
  <si>
    <t>ALFREDO CRIOLANI E HIJOS S.A.</t>
  </si>
  <si>
    <t>0021R00001066</t>
  </si>
  <si>
    <t>0021R00001067</t>
  </si>
  <si>
    <t>ALFREDO CRIOLANI E HIJOS SA</t>
  </si>
  <si>
    <t>VICTORIA-Entre Rios</t>
  </si>
  <si>
    <t>0021R00001068</t>
  </si>
  <si>
    <t>General Pico-La Pampa</t>
  </si>
  <si>
    <t>BRINATTI</t>
  </si>
  <si>
    <t>0021R00001051</t>
  </si>
  <si>
    <t>0021R00001058</t>
  </si>
  <si>
    <t>CAMIONES ALTO PARANA S.A.</t>
  </si>
  <si>
    <t>GARAY</t>
  </si>
  <si>
    <t>El Dorado-Misiones</t>
  </si>
  <si>
    <t>0021R00001060</t>
  </si>
  <si>
    <t>RYMI SA</t>
  </si>
  <si>
    <t>LAS HIGUERAS-Cordoba</t>
  </si>
  <si>
    <t>0021R00001061</t>
  </si>
  <si>
    <t>0021R00001063</t>
  </si>
  <si>
    <t>Marcos Juarez-Cordoba</t>
  </si>
  <si>
    <t>0021R00001064</t>
  </si>
  <si>
    <t>Totoras-Santa Fe</t>
  </si>
  <si>
    <t>0021R00001069</t>
  </si>
  <si>
    <t>BARTOLOME CERUTTI S.R.L.</t>
  </si>
  <si>
    <t>0021R00001071</t>
  </si>
  <si>
    <t>0021R00001072</t>
  </si>
  <si>
    <t>GRUMAQ S.R.L.</t>
  </si>
  <si>
    <t>San Lorenzo-Santa Fe</t>
  </si>
  <si>
    <t>0021R00001073</t>
  </si>
  <si>
    <t>AGROMAQ VIRDO S.A.</t>
  </si>
  <si>
    <t>Chacras de Coria-Mendoza</t>
  </si>
  <si>
    <t>0021R00000893</t>
  </si>
  <si>
    <t>MORCILLO JULIO CESAR</t>
  </si>
  <si>
    <t>RICHTER</t>
  </si>
  <si>
    <t>Puerto Madryn-Chubut</t>
  </si>
  <si>
    <t>0021R00000980</t>
  </si>
  <si>
    <t>RETIRA EL CLIENTE DEL DEPOSITO</t>
  </si>
  <si>
    <t>0021R00001052</t>
  </si>
  <si>
    <t>0021R00001053</t>
  </si>
  <si>
    <t>0021R00001054</t>
  </si>
  <si>
    <t>0021R00001057</t>
  </si>
  <si>
    <t>0021R00001070</t>
  </si>
  <si>
    <t>0021R00001074</t>
  </si>
  <si>
    <t>0021R00001059</t>
  </si>
  <si>
    <t>0021R00001062</t>
  </si>
  <si>
    <t>0021R00001075</t>
  </si>
  <si>
    <t>BUENOS AIRES-GBA Gran Bs As</t>
  </si>
  <si>
    <t>0021R00000987</t>
  </si>
  <si>
    <t>0021R00000885</t>
  </si>
  <si>
    <t>0021R00000886</t>
  </si>
  <si>
    <t>0021R00000991</t>
  </si>
  <si>
    <t>0021R00000992</t>
  </si>
  <si>
    <t>0021R00000993</t>
  </si>
  <si>
    <t>0021R00000994</t>
  </si>
  <si>
    <t>0021R00000995</t>
  </si>
  <si>
    <t>0021R00000996</t>
  </si>
  <si>
    <t>0021R00000998</t>
  </si>
  <si>
    <t>0021R00000999</t>
  </si>
  <si>
    <t>0021R00001000</t>
  </si>
  <si>
    <t>0021R00001023</t>
  </si>
  <si>
    <t>0021R00001025</t>
  </si>
  <si>
    <t>0021R00001055</t>
  </si>
  <si>
    <t>0021R00001056</t>
  </si>
  <si>
    <t>0021R00001079</t>
  </si>
  <si>
    <t>0021R00001080</t>
  </si>
  <si>
    <t>0021R00001081</t>
  </si>
  <si>
    <t>0021R00001088</t>
  </si>
  <si>
    <t>AUTOSEDE S.A.</t>
  </si>
  <si>
    <t>RICARDO TRAVERSO E HIJO S.R.L.</t>
  </si>
  <si>
    <t>BURGER DALILA RAQUEL</t>
  </si>
  <si>
    <t>RETIRA CLIENTE DEPOSITO</t>
  </si>
  <si>
    <t>JujuySAN SALVADOR DE JUJUY</t>
  </si>
  <si>
    <t>JujuySan Salvador de Jujuy</t>
  </si>
  <si>
    <t>Buenos AiresMar Del Plata</t>
  </si>
  <si>
    <t>Buenos AiresJunin</t>
  </si>
  <si>
    <t>MisionesObera</t>
  </si>
  <si>
    <t>MARCOS</t>
  </si>
  <si>
    <t>SERGIO</t>
  </si>
  <si>
    <t>0021R00001028</t>
  </si>
  <si>
    <t>MEMA DISTRIBUCIONES</t>
  </si>
  <si>
    <t>0021R00001038</t>
  </si>
  <si>
    <t>0021R00001045</t>
  </si>
  <si>
    <t>PROVINCIA</t>
  </si>
  <si>
    <t>0021R00000002</t>
  </si>
  <si>
    <t>0021R00000003</t>
  </si>
  <si>
    <t>AURELIA SACIyF (IVECO)</t>
  </si>
  <si>
    <t>0021R00000004</t>
  </si>
  <si>
    <t>0021R00000005</t>
  </si>
  <si>
    <t>0021R00000006</t>
  </si>
  <si>
    <t>SIMONASSI HNOS. S.A.</t>
  </si>
  <si>
    <t>0021R00000007</t>
  </si>
  <si>
    <t>0021R00000008</t>
  </si>
  <si>
    <t>0021R00000009</t>
  </si>
  <si>
    <t>0021R00000010</t>
  </si>
  <si>
    <t>0021R00000011</t>
  </si>
  <si>
    <t>0021R00000012</t>
  </si>
  <si>
    <t>0021R00000013</t>
  </si>
  <si>
    <t>0021R00000015</t>
  </si>
  <si>
    <t>Tortuguitas</t>
  </si>
  <si>
    <t>Buenos Aires</t>
  </si>
  <si>
    <t>Villa Ramallo</t>
  </si>
  <si>
    <t>San Francisco</t>
  </si>
  <si>
    <t>Cordoba</t>
  </si>
  <si>
    <t>Villa Maria</t>
  </si>
  <si>
    <t>Rio Cuarto</t>
  </si>
  <si>
    <t>9 de julio</t>
  </si>
  <si>
    <t>Oncativo</t>
  </si>
  <si>
    <t>Rafaela</t>
  </si>
  <si>
    <t>Santa Fe</t>
  </si>
  <si>
    <t>BAHIA BLANCA</t>
  </si>
  <si>
    <t>Mar Del Plata</t>
  </si>
  <si>
    <t>Bahia Blanca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</si>
</sst>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\ #,##0.00;\-&quot;$&quot;\ #,##0.00"/>
    <numFmt numFmtId="44" formatCode="_-&quot;$&quot;\ * #,##0.00_-;\-&quot;$&quot;\ * #,##0.00_-;_-&quot;$&quot;\ * &quot;-&quot;??_-;_-@_-"/>
    <numFmt numFmtId="164" formatCode="&quot;$&quot;#,##0.00;[Red]\-&quot;$&quot;#,##0.00"/>
    <numFmt numFmtId="165" formatCode="_-&quot;$&quot;* #,##0.00_-;\-&quot;$&quot;* #,##0.00_-;_-&quot;$&quot;* &quot;-&quot;??_-;_-@_-"/>
    <numFmt numFmtId="166" formatCode="&quot;$&quot;\ #,##0.00"/>
    <numFmt numFmtId="167" formatCode="[$$-2C0A]\ #,##0.00"/>
  </numFmts>
  <fonts count="31" x14ac:knownFonts="1">
    <font>
      <sz val="10"/>
      <name val="Arial"/>
    </font>
    <font>
      <b/>
      <i/>
      <sz val="10"/>
      <name val="Arial"/>
      <family val="2"/>
    </font>
    <font>
      <u/>
      <sz val="13"/>
      <color indexed="12"/>
      <name val="Arial"/>
      <family val="2"/>
    </font>
    <font>
      <b/>
      <i/>
      <u/>
      <sz val="1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u/>
      <sz val="10"/>
      <color rgb="FF0000FF"/>
      <name val="Arial"/>
      <family val="2"/>
    </font>
    <font>
      <b/>
      <sz val="13"/>
      <color theme="1"/>
      <name val="Arial"/>
      <family val="2"/>
    </font>
    <font>
      <b/>
      <sz val="8"/>
      <color theme="1"/>
      <name val="Arial"/>
      <family val="2"/>
    </font>
    <font>
      <sz val="9"/>
      <name val="Verdana"/>
      <family val="2"/>
    </font>
    <font>
      <sz val="9"/>
      <color theme="1"/>
      <name val="Verdana"/>
      <family val="2"/>
    </font>
    <font>
      <b/>
      <i/>
      <sz val="8"/>
      <color theme="1"/>
      <name val="Arial"/>
      <family val="2"/>
    </font>
    <font>
      <sz val="9"/>
      <color theme="1"/>
      <name val="Arial"/>
      <family val="2"/>
    </font>
    <font>
      <b/>
      <sz val="14"/>
      <name val="Verdan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3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9"/>
      <color theme="1"/>
      <name val="Arial"/>
      <family val="2"/>
    </font>
    <font>
      <sz val="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gradientFill type="path">
        <stop position="0">
          <color theme="0"/>
        </stop>
        <stop position="1">
          <color rgb="FF84F4CF"/>
        </stop>
      </gradientFill>
    </fill>
    <fill>
      <gradientFill type="path">
        <stop position="0">
          <color rgb="FF84F4CF"/>
        </stop>
        <stop position="1">
          <color theme="0"/>
        </stop>
      </gradientFill>
    </fill>
    <fill>
      <gradientFill type="path" left="0.5" right="0.5" top="0.5" bottom="0.5">
        <stop position="0">
          <color rgb="FF84F4CF"/>
        </stop>
        <stop position="1">
          <color rgb="FF84F4CF"/>
        </stop>
      </gradientFill>
    </fill>
    <fill>
      <gradientFill type="path">
        <stop position="0">
          <color rgb="FF84F4CF"/>
        </stop>
        <stop position="1">
          <color rgb="FF84F4CF"/>
        </stop>
      </gradientFill>
    </fill>
    <fill>
      <patternFill patternType="solid">
        <fgColor theme="2"/>
        <bgColor indexed="64"/>
      </patternFill>
    </fill>
    <fill>
      <patternFill patternType="solid">
        <fgColor rgb="FF84F4CF"/>
        <bgColor auto="1"/>
      </patternFill>
    </fill>
    <fill>
      <patternFill patternType="solid">
        <fgColor rgb="FF84F4C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66FF33"/>
        <bgColor indexed="64"/>
      </patternFill>
    </fill>
  </fills>
  <borders count="45">
    <border>
      <left/>
      <right/>
      <top/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6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165" fontId="11" fillId="0" borderId="0" applyFont="0" applyFill="0" applyBorder="0" applyAlignment="0" applyProtection="0"/>
  </cellStyleXfs>
  <cellXfs count="268">
    <xf numFmtId="0" fontId="0" fillId="0" borderId="0" xfId="0"/>
    <xf numFmtId="0" fontId="10" fillId="3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166" fontId="4" fillId="3" borderId="0" xfId="0" applyNumberFormat="1" applyFont="1" applyFill="1" applyProtection="1">
      <protection locked="0"/>
    </xf>
    <xf numFmtId="0" fontId="4" fillId="3" borderId="3" xfId="0" applyFont="1" applyFill="1" applyBorder="1" applyAlignment="1" applyProtection="1">
      <alignment horizontal="center" vertical="center" shrinkToFi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 shrinkToFit="1"/>
      <protection locked="0"/>
    </xf>
    <xf numFmtId="0" fontId="4" fillId="3" borderId="6" xfId="0" applyFont="1" applyFill="1" applyBorder="1" applyAlignment="1" applyProtection="1">
      <alignment horizontal="center"/>
      <protection locked="0"/>
    </xf>
    <xf numFmtId="0" fontId="4" fillId="3" borderId="8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 vertical="center"/>
    </xf>
    <xf numFmtId="165" fontId="15" fillId="0" borderId="0" xfId="2" applyFont="1" applyAlignment="1">
      <alignment horizontal="center" vertical="center"/>
    </xf>
    <xf numFmtId="165" fontId="16" fillId="0" borderId="16" xfId="2" applyFont="1" applyFill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165" fontId="16" fillId="0" borderId="18" xfId="2" applyFont="1" applyFill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16" fillId="0" borderId="19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left"/>
      <protection locked="0"/>
    </xf>
    <xf numFmtId="0" fontId="7" fillId="5" borderId="5" xfId="0" quotePrefix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Protection="1">
      <protection locked="0"/>
    </xf>
    <xf numFmtId="0" fontId="10" fillId="5" borderId="0" xfId="0" applyFont="1" applyFill="1" applyProtection="1">
      <protection locked="0"/>
    </xf>
    <xf numFmtId="0" fontId="10" fillId="5" borderId="10" xfId="0" applyFont="1" applyFill="1" applyBorder="1" applyProtection="1"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166" fontId="4" fillId="3" borderId="3" xfId="0" applyNumberFormat="1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 shrinkToFit="1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 shrinkToFi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166" fontId="9" fillId="3" borderId="3" xfId="0" applyNumberFormat="1" applyFont="1" applyFill="1" applyBorder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horizontal="center" vertical="center" wrapText="1"/>
      <protection locked="0"/>
    </xf>
    <xf numFmtId="0" fontId="9" fillId="3" borderId="3" xfId="0" applyFont="1" applyFill="1" applyBorder="1" applyAlignment="1" applyProtection="1">
      <alignment horizontal="center" vertical="center" wrapText="1" shrinkToFit="1"/>
      <protection locked="0"/>
    </xf>
    <xf numFmtId="0" fontId="9" fillId="3" borderId="2" xfId="0" applyFont="1" applyFill="1" applyBorder="1" applyAlignment="1" applyProtection="1">
      <alignment horizontal="center" vertical="center" shrinkToFit="1"/>
      <protection locked="0"/>
    </xf>
    <xf numFmtId="0" fontId="9" fillId="3" borderId="8" xfId="0" applyFont="1" applyFill="1" applyBorder="1" applyAlignment="1" applyProtection="1">
      <alignment horizontal="center" vertical="center"/>
      <protection locked="0"/>
    </xf>
    <xf numFmtId="166" fontId="9" fillId="3" borderId="2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shrinkToFit="1"/>
    </xf>
    <xf numFmtId="0" fontId="7" fillId="5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 shrinkToFit="1"/>
    </xf>
    <xf numFmtId="0" fontId="14" fillId="5" borderId="3" xfId="0" applyFont="1" applyFill="1" applyBorder="1" applyAlignment="1">
      <alignment horizontal="center" vertical="center" wrapText="1" shrinkToFit="1"/>
    </xf>
    <xf numFmtId="166" fontId="7" fillId="5" borderId="5" xfId="0" applyNumberFormat="1" applyFont="1" applyFill="1" applyBorder="1" applyAlignment="1">
      <alignment horizontal="center" vertical="center"/>
    </xf>
    <xf numFmtId="166" fontId="7" fillId="5" borderId="3" xfId="0" applyNumberFormat="1" applyFont="1" applyFill="1" applyBorder="1" applyAlignment="1">
      <alignment horizontal="center" vertical="center"/>
    </xf>
    <xf numFmtId="165" fontId="9" fillId="3" borderId="4" xfId="2" applyFont="1" applyFill="1" applyBorder="1" applyAlignment="1" applyProtection="1">
      <alignment horizontal="center" vertical="center"/>
      <protection locked="0"/>
    </xf>
    <xf numFmtId="165" fontId="9" fillId="3" borderId="3" xfId="2" applyFont="1" applyFill="1" applyBorder="1" applyAlignment="1" applyProtection="1">
      <alignment horizontal="center" vertical="center"/>
      <protection locked="0"/>
    </xf>
    <xf numFmtId="165" fontId="9" fillId="3" borderId="2" xfId="2" applyFont="1" applyFill="1" applyBorder="1" applyAlignment="1" applyProtection="1">
      <alignment horizontal="center" vertical="center"/>
      <protection locked="0"/>
    </xf>
    <xf numFmtId="165" fontId="9" fillId="3" borderId="4" xfId="2" applyFont="1" applyFill="1" applyBorder="1" applyAlignment="1">
      <alignment horizontal="center" vertical="center"/>
    </xf>
    <xf numFmtId="165" fontId="9" fillId="3" borderId="3" xfId="2" applyFont="1" applyFill="1" applyBorder="1" applyAlignment="1" applyProtection="1">
      <alignment horizontal="center" vertical="center"/>
    </xf>
    <xf numFmtId="165" fontId="9" fillId="3" borderId="2" xfId="2" applyFont="1" applyFill="1" applyBorder="1" applyAlignment="1" applyProtection="1">
      <alignment horizontal="center" vertical="center"/>
    </xf>
    <xf numFmtId="0" fontId="10" fillId="2" borderId="0" xfId="0" applyFont="1" applyFill="1" applyAlignment="1" applyProtection="1">
      <alignment horizontal="right" vertical="center"/>
      <protection locked="0"/>
    </xf>
    <xf numFmtId="0" fontId="10" fillId="0" borderId="0" xfId="0" applyFont="1" applyAlignment="1" applyProtection="1">
      <alignment horizontal="right" vertical="center"/>
      <protection locked="0"/>
    </xf>
    <xf numFmtId="0" fontId="7" fillId="5" borderId="5" xfId="0" quotePrefix="1" applyFont="1" applyFill="1" applyBorder="1" applyAlignment="1">
      <alignment horizontal="center" vertical="center"/>
    </xf>
    <xf numFmtId="0" fontId="4" fillId="3" borderId="0" xfId="0" applyFont="1" applyFill="1" applyAlignment="1" applyProtection="1">
      <alignment vertical="center"/>
      <protection locked="0"/>
    </xf>
    <xf numFmtId="166" fontId="4" fillId="3" borderId="0" xfId="0" applyNumberFormat="1" applyFont="1" applyFill="1" applyAlignment="1" applyProtection="1">
      <alignment vertical="center"/>
      <protection locked="0"/>
    </xf>
    <xf numFmtId="0" fontId="10" fillId="3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10" fillId="5" borderId="0" xfId="0" applyFont="1" applyFill="1"/>
    <xf numFmtId="0" fontId="10" fillId="5" borderId="10" xfId="0" applyFont="1" applyFill="1" applyBorder="1"/>
    <xf numFmtId="167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3" xfId="0" applyNumberFormat="1" applyFont="1" applyFill="1" applyBorder="1" applyAlignment="1" applyProtection="1">
      <alignment horizontal="center" vertical="center"/>
      <protection locked="0"/>
    </xf>
    <xf numFmtId="167" fontId="4" fillId="3" borderId="2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Alignment="1">
      <alignment vertical="center"/>
    </xf>
    <xf numFmtId="0" fontId="10" fillId="5" borderId="10" xfId="0" applyFont="1" applyFill="1" applyBorder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/>
    </xf>
    <xf numFmtId="1" fontId="9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16" fillId="0" borderId="17" xfId="2" applyFont="1" applyFill="1" applyBorder="1" applyAlignment="1">
      <alignment horizontal="center" vertical="center"/>
    </xf>
    <xf numFmtId="0" fontId="18" fillId="8" borderId="20" xfId="0" applyFont="1" applyFill="1" applyBorder="1" applyAlignment="1">
      <alignment horizontal="center" vertical="center" wrapText="1"/>
    </xf>
    <xf numFmtId="0" fontId="18" fillId="8" borderId="21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 applyProtection="1">
      <alignment vertical="center" wrapText="1"/>
      <protection locked="0"/>
    </xf>
    <xf numFmtId="0" fontId="4" fillId="6" borderId="5" xfId="0" applyFont="1" applyFill="1" applyBorder="1" applyAlignment="1" applyProtection="1">
      <alignment vertical="center"/>
      <protection locked="0"/>
    </xf>
    <xf numFmtId="49" fontId="16" fillId="0" borderId="16" xfId="2" applyNumberFormat="1" applyFont="1" applyFill="1" applyBorder="1" applyAlignment="1">
      <alignment horizontal="center" vertical="center"/>
    </xf>
    <xf numFmtId="49" fontId="16" fillId="0" borderId="18" xfId="2" applyNumberFormat="1" applyFont="1" applyFill="1" applyBorder="1" applyAlignment="1">
      <alignment horizontal="center" vertical="center"/>
    </xf>
    <xf numFmtId="166" fontId="4" fillId="3" borderId="2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 applyProtection="1">
      <alignment horizontal="center" shrinkToFit="1"/>
      <protection locked="0"/>
    </xf>
    <xf numFmtId="167" fontId="4" fillId="3" borderId="4" xfId="0" applyNumberFormat="1" applyFont="1" applyFill="1" applyBorder="1" applyAlignment="1" applyProtection="1">
      <alignment horizontal="center"/>
      <protection locked="0"/>
    </xf>
    <xf numFmtId="166" fontId="4" fillId="3" borderId="3" xfId="0" applyNumberFormat="1" applyFont="1" applyFill="1" applyBorder="1" applyAlignment="1">
      <alignment horizontal="center"/>
    </xf>
    <xf numFmtId="167" fontId="4" fillId="3" borderId="3" xfId="0" applyNumberFormat="1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 applyProtection="1">
      <alignment horizontal="center" shrinkToFit="1"/>
      <protection locked="0"/>
    </xf>
    <xf numFmtId="167" fontId="4" fillId="3" borderId="2" xfId="0" applyNumberFormat="1" applyFont="1" applyFill="1" applyBorder="1" applyAlignment="1" applyProtection="1">
      <alignment horizontal="center"/>
      <protection locked="0"/>
    </xf>
    <xf numFmtId="166" fontId="4" fillId="3" borderId="2" xfId="0" applyNumberFormat="1" applyFont="1" applyFill="1" applyBorder="1" applyAlignment="1">
      <alignment horizontal="center"/>
    </xf>
    <xf numFmtId="0" fontId="17" fillId="7" borderId="1" xfId="0" applyFont="1" applyFill="1" applyBorder="1" applyAlignment="1" applyProtection="1">
      <alignment vertical="center" wrapText="1"/>
      <protection locked="0"/>
    </xf>
    <xf numFmtId="0" fontId="17" fillId="9" borderId="7" xfId="0" applyFont="1" applyFill="1" applyBorder="1" applyAlignment="1" applyProtection="1">
      <alignment vertical="center" wrapText="1"/>
      <protection locked="0"/>
    </xf>
    <xf numFmtId="7" fontId="15" fillId="11" borderId="0" xfId="0" applyNumberFormat="1" applyFont="1" applyFill="1" applyAlignment="1">
      <alignment horizontal="center" vertical="center"/>
    </xf>
    <xf numFmtId="0" fontId="4" fillId="3" borderId="14" xfId="0" applyFont="1" applyFill="1" applyBorder="1" applyProtection="1">
      <protection locked="0"/>
    </xf>
    <xf numFmtId="0" fontId="4" fillId="3" borderId="22" xfId="0" applyFont="1" applyFill="1" applyBorder="1" applyProtection="1">
      <protection locked="0"/>
    </xf>
    <xf numFmtId="166" fontId="4" fillId="3" borderId="22" xfId="0" applyNumberFormat="1" applyFont="1" applyFill="1" applyBorder="1" applyProtection="1">
      <protection locked="0"/>
    </xf>
    <xf numFmtId="0" fontId="10" fillId="3" borderId="15" xfId="0" applyFont="1" applyFill="1" applyBorder="1" applyProtection="1">
      <protection locked="0"/>
    </xf>
    <xf numFmtId="0" fontId="10" fillId="3" borderId="12" xfId="0" applyFont="1" applyFill="1" applyBorder="1" applyProtection="1">
      <protection locked="0"/>
    </xf>
    <xf numFmtId="0" fontId="7" fillId="5" borderId="23" xfId="0" quotePrefix="1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 wrapText="1"/>
    </xf>
    <xf numFmtId="166" fontId="7" fillId="5" borderId="26" xfId="0" applyNumberFormat="1" applyFont="1" applyFill="1" applyBorder="1" applyAlignment="1">
      <alignment horizontal="center" vertical="center"/>
    </xf>
    <xf numFmtId="0" fontId="9" fillId="3" borderId="25" xfId="0" applyFont="1" applyFill="1" applyBorder="1" applyAlignment="1" applyProtection="1">
      <alignment horizontal="center" vertical="center" shrinkToFit="1"/>
      <protection locked="0"/>
    </xf>
    <xf numFmtId="166" fontId="9" fillId="3" borderId="26" xfId="0" applyNumberFormat="1" applyFont="1" applyFill="1" applyBorder="1" applyAlignment="1">
      <alignment horizontal="center" vertical="center"/>
    </xf>
    <xf numFmtId="166" fontId="9" fillId="3" borderId="27" xfId="0" applyNumberFormat="1" applyFont="1" applyFill="1" applyBorder="1" applyAlignment="1">
      <alignment horizontal="center" vertical="center"/>
    </xf>
    <xf numFmtId="0" fontId="17" fillId="9" borderId="23" xfId="0" applyFont="1" applyFill="1" applyBorder="1" applyAlignment="1" applyProtection="1">
      <alignment vertical="center" wrapText="1"/>
      <protection locked="0"/>
    </xf>
    <xf numFmtId="0" fontId="4" fillId="6" borderId="23" xfId="0" applyFont="1" applyFill="1" applyBorder="1" applyAlignment="1" applyProtection="1">
      <alignment vertical="center"/>
      <protection locked="0"/>
    </xf>
    <xf numFmtId="0" fontId="4" fillId="6" borderId="28" xfId="0" applyFont="1" applyFill="1" applyBorder="1" applyAlignment="1" applyProtection="1">
      <alignment vertical="center"/>
      <protection locked="0"/>
    </xf>
    <xf numFmtId="0" fontId="4" fillId="3" borderId="25" xfId="0" applyFont="1" applyFill="1" applyBorder="1" applyAlignment="1" applyProtection="1">
      <alignment vertical="center" shrinkToFit="1"/>
      <protection locked="0"/>
    </xf>
    <xf numFmtId="166" fontId="4" fillId="3" borderId="26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 applyProtection="1">
      <alignment horizontal="center" vertical="center" wrapText="1"/>
      <protection locked="0"/>
    </xf>
    <xf numFmtId="0" fontId="4" fillId="6" borderId="23" xfId="0" applyFont="1" applyFill="1" applyBorder="1" applyAlignment="1">
      <alignment vertical="center"/>
    </xf>
    <xf numFmtId="0" fontId="4" fillId="6" borderId="28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12" fillId="12" borderId="9" xfId="1" quotePrefix="1" applyFont="1" applyFill="1" applyBorder="1" applyAlignment="1" applyProtection="1">
      <alignment horizontal="center" vertical="center"/>
      <protection locked="0"/>
    </xf>
    <xf numFmtId="167" fontId="9" fillId="12" borderId="9" xfId="0" applyNumberFormat="1" applyFont="1" applyFill="1" applyBorder="1" applyAlignment="1">
      <alignment horizontal="center" vertical="center"/>
    </xf>
    <xf numFmtId="0" fontId="0" fillId="13" borderId="0" xfId="0" applyFill="1" applyAlignment="1" applyProtection="1">
      <alignment horizontal="center" vertical="center"/>
      <protection locked="0"/>
    </xf>
    <xf numFmtId="0" fontId="8" fillId="13" borderId="0" xfId="0" applyFont="1" applyFill="1" applyAlignment="1" applyProtection="1">
      <alignment horizontal="center" vertical="center"/>
      <protection locked="0"/>
    </xf>
    <xf numFmtId="165" fontId="0" fillId="0" borderId="0" xfId="2" applyFont="1"/>
    <xf numFmtId="0" fontId="20" fillId="13" borderId="0" xfId="0" applyFont="1" applyFill="1" applyAlignment="1" applyProtection="1">
      <alignment horizontal="center" vertical="center"/>
      <protection locked="0"/>
    </xf>
    <xf numFmtId="165" fontId="18" fillId="8" borderId="20" xfId="2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6" fillId="0" borderId="16" xfId="2" applyNumberFormat="1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21" fillId="11" borderId="16" xfId="0" applyFont="1" applyFill="1" applyBorder="1" applyAlignment="1">
      <alignment horizontal="center" vertical="center" wrapText="1"/>
    </xf>
    <xf numFmtId="44" fontId="15" fillId="0" borderId="16" xfId="2" applyNumberFormat="1" applyFont="1" applyBorder="1" applyAlignment="1">
      <alignment horizontal="center" vertical="center"/>
    </xf>
    <xf numFmtId="0" fontId="20" fillId="13" borderId="0" xfId="0" applyFont="1" applyFill="1" applyAlignment="1" applyProtection="1">
      <alignment horizontal="center" vertical="top"/>
      <protection locked="0"/>
    </xf>
    <xf numFmtId="0" fontId="6" fillId="13" borderId="0" xfId="0" applyFont="1" applyFill="1" applyAlignment="1" applyProtection="1">
      <alignment horizontal="center" vertical="top"/>
      <protection locked="0"/>
    </xf>
    <xf numFmtId="0" fontId="0" fillId="13" borderId="0" xfId="0" applyFill="1" applyAlignment="1" applyProtection="1">
      <alignment horizontal="center" vertical="top"/>
      <protection locked="0"/>
    </xf>
    <xf numFmtId="0" fontId="0" fillId="13" borderId="0" xfId="0" applyFill="1" applyAlignment="1">
      <alignment vertical="top"/>
    </xf>
    <xf numFmtId="0" fontId="10" fillId="13" borderId="0" xfId="0" applyFont="1" applyFill="1" applyAlignment="1" applyProtection="1">
      <alignment horizontal="center" vertical="top"/>
      <protection locked="0"/>
    </xf>
    <xf numFmtId="0" fontId="0" fillId="13" borderId="0" xfId="0" applyFill="1"/>
    <xf numFmtId="0" fontId="19" fillId="13" borderId="0" xfId="0" applyFont="1" applyFill="1" applyAlignment="1" applyProtection="1">
      <alignment vertical="center"/>
      <protection locked="0"/>
    </xf>
    <xf numFmtId="0" fontId="8" fillId="13" borderId="0" xfId="0" applyFont="1" applyFill="1" applyAlignment="1" applyProtection="1">
      <alignment vertical="center"/>
      <protection locked="0"/>
    </xf>
    <xf numFmtId="0" fontId="12" fillId="4" borderId="9" xfId="1" applyFont="1" applyFill="1" applyBorder="1" applyAlignment="1" applyProtection="1">
      <alignment vertical="center"/>
      <protection locked="0"/>
    </xf>
    <xf numFmtId="167" fontId="9" fillId="0" borderId="9" xfId="0" applyNumberFormat="1" applyFont="1" applyBorder="1" applyAlignment="1">
      <alignment vertical="center"/>
    </xf>
    <xf numFmtId="0" fontId="8" fillId="0" borderId="0" xfId="0" applyFont="1" applyAlignment="1" applyProtection="1">
      <alignment vertical="center"/>
      <protection locked="0"/>
    </xf>
    <xf numFmtId="0" fontId="12" fillId="4" borderId="9" xfId="1" quotePrefix="1" applyFont="1" applyFill="1" applyBorder="1" applyAlignment="1" applyProtection="1">
      <alignment vertical="center"/>
      <protection locked="0"/>
    </xf>
    <xf numFmtId="0" fontId="15" fillId="0" borderId="19" xfId="0" applyFont="1" applyBorder="1" applyAlignment="1">
      <alignment horizontal="center" vertical="center"/>
    </xf>
    <xf numFmtId="44" fontId="15" fillId="0" borderId="19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4" fillId="11" borderId="37" xfId="0" applyFont="1" applyFill="1" applyBorder="1" applyAlignment="1">
      <alignment horizontal="center" vertical="center" wrapText="1"/>
    </xf>
    <xf numFmtId="0" fontId="24" fillId="11" borderId="17" xfId="0" applyFont="1" applyFill="1" applyBorder="1" applyAlignment="1">
      <alignment horizontal="center" vertical="center" wrapText="1"/>
    </xf>
    <xf numFmtId="0" fontId="24" fillId="11" borderId="38" xfId="0" applyFont="1" applyFill="1" applyBorder="1" applyAlignment="1">
      <alignment horizontal="center" vertical="center" wrapText="1"/>
    </xf>
    <xf numFmtId="0" fontId="19" fillId="11" borderId="33" xfId="0" applyFont="1" applyFill="1" applyBorder="1" applyAlignment="1" applyProtection="1">
      <alignment horizontal="center" vertical="center"/>
      <protection locked="0"/>
    </xf>
    <xf numFmtId="0" fontId="10" fillId="13" borderId="0" xfId="0" applyFont="1" applyFill="1" applyAlignment="1" applyProtection="1">
      <alignment horizontal="center" vertical="center"/>
      <protection locked="0"/>
    </xf>
    <xf numFmtId="0" fontId="21" fillId="0" borderId="42" xfId="0" applyFont="1" applyBorder="1"/>
    <xf numFmtId="0" fontId="25" fillId="14" borderId="0" xfId="0" applyFont="1" applyFill="1" applyAlignment="1">
      <alignment horizontal="center"/>
    </xf>
    <xf numFmtId="2" fontId="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0" fillId="0" borderId="16" xfId="2" applyFont="1" applyBorder="1" applyAlignment="1">
      <alignment horizontal="center" vertical="center"/>
    </xf>
    <xf numFmtId="165" fontId="0" fillId="0" borderId="40" xfId="0" applyNumberFormat="1" applyBorder="1" applyAlignment="1">
      <alignment horizontal="center" vertical="center"/>
    </xf>
    <xf numFmtId="7" fontId="15" fillId="0" borderId="16" xfId="2" applyNumberFormat="1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0" borderId="16" xfId="2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8" xfId="0" applyBorder="1" applyAlignment="1">
      <alignment horizontal="center"/>
    </xf>
    <xf numFmtId="165" fontId="0" fillId="0" borderId="18" xfId="2" applyFont="1" applyBorder="1" applyAlignment="1">
      <alignment horizontal="center"/>
    </xf>
    <xf numFmtId="0" fontId="21" fillId="0" borderId="0" xfId="0" applyFont="1"/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5" fontId="27" fillId="6" borderId="7" xfId="0" applyNumberFormat="1" applyFont="1" applyFill="1" applyBorder="1" applyAlignment="1">
      <alignment vertical="center"/>
    </xf>
    <xf numFmtId="165" fontId="27" fillId="6" borderId="6" xfId="0" applyNumberFormat="1" applyFont="1" applyFill="1" applyBorder="1" applyAlignment="1">
      <alignment vertical="center"/>
    </xf>
    <xf numFmtId="0" fontId="26" fillId="3" borderId="25" xfId="0" applyFont="1" applyFill="1" applyBorder="1" applyAlignment="1" applyProtection="1">
      <alignment vertical="center" shrinkToFit="1"/>
      <protection locked="0"/>
    </xf>
    <xf numFmtId="1" fontId="26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26" fillId="3" borderId="5" xfId="0" applyFont="1" applyFill="1" applyBorder="1" applyAlignment="1" applyProtection="1">
      <alignment horizontal="center" vertical="center" wrapText="1"/>
      <protection locked="0"/>
    </xf>
    <xf numFmtId="0" fontId="26" fillId="3" borderId="3" xfId="0" applyFont="1" applyFill="1" applyBorder="1" applyAlignment="1" applyProtection="1">
      <alignment horizontal="center" vertical="center" shrinkToFit="1"/>
      <protection locked="0"/>
    </xf>
    <xf numFmtId="2" fontId="26" fillId="3" borderId="6" xfId="0" applyNumberFormat="1" applyFont="1" applyFill="1" applyBorder="1" applyAlignment="1" applyProtection="1">
      <alignment horizontal="center" vertical="center"/>
      <protection locked="0"/>
    </xf>
    <xf numFmtId="165" fontId="26" fillId="3" borderId="4" xfId="2" applyFont="1" applyFill="1" applyBorder="1" applyAlignment="1">
      <alignment horizontal="center" vertical="center"/>
    </xf>
    <xf numFmtId="165" fontId="26" fillId="3" borderId="3" xfId="2" applyFont="1" applyFill="1" applyBorder="1" applyAlignment="1" applyProtection="1">
      <alignment horizontal="center" vertical="center" wrapText="1"/>
      <protection locked="0"/>
    </xf>
    <xf numFmtId="166" fontId="26" fillId="3" borderId="3" xfId="0" applyNumberFormat="1" applyFont="1" applyFill="1" applyBorder="1" applyAlignment="1">
      <alignment horizontal="center" vertical="center"/>
    </xf>
    <xf numFmtId="166" fontId="26" fillId="3" borderId="26" xfId="0" applyNumberFormat="1" applyFont="1" applyFill="1" applyBorder="1" applyAlignment="1">
      <alignment horizontal="center" vertical="center"/>
    </xf>
    <xf numFmtId="0" fontId="28" fillId="2" borderId="0" xfId="0" applyFont="1" applyFill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4" borderId="9" xfId="0" applyFont="1" applyFill="1" applyBorder="1" applyAlignment="1" applyProtection="1">
      <alignment horizontal="left" vertical="center"/>
      <protection locked="0"/>
    </xf>
    <xf numFmtId="0" fontId="12" fillId="12" borderId="43" xfId="1" quotePrefix="1" applyFont="1" applyFill="1" applyBorder="1" applyAlignment="1" applyProtection="1">
      <alignment horizontal="center" vertical="center"/>
      <protection locked="0"/>
    </xf>
    <xf numFmtId="167" fontId="9" fillId="0" borderId="9" xfId="0" applyNumberFormat="1" applyFont="1" applyBorder="1" applyAlignment="1">
      <alignment horizontal="center" vertical="center"/>
    </xf>
    <xf numFmtId="167" fontId="9" fillId="12" borderId="43" xfId="0" applyNumberFormat="1" applyFont="1" applyFill="1" applyBorder="1" applyAlignment="1">
      <alignment horizontal="center" vertical="center"/>
    </xf>
    <xf numFmtId="1" fontId="16" fillId="0" borderId="18" xfId="2" applyNumberFormat="1" applyFont="1" applyFill="1" applyBorder="1" applyAlignment="1">
      <alignment horizontal="center" vertical="center"/>
    </xf>
    <xf numFmtId="165" fontId="15" fillId="0" borderId="0" xfId="2" applyFont="1" applyBorder="1" applyAlignment="1">
      <alignment horizontal="center" vertical="center"/>
    </xf>
    <xf numFmtId="14" fontId="16" fillId="0" borderId="19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65" fontId="16" fillId="0" borderId="18" xfId="0" applyNumberFormat="1" applyFont="1" applyBorder="1" applyAlignment="1">
      <alignment horizontal="center" vertical="center"/>
    </xf>
    <xf numFmtId="0" fontId="29" fillId="8" borderId="20" xfId="0" applyFont="1" applyFill="1" applyBorder="1" applyAlignment="1">
      <alignment horizontal="center" vertical="center" wrapText="1"/>
    </xf>
    <xf numFmtId="14" fontId="4" fillId="3" borderId="3" xfId="0" applyNumberFormat="1" applyFont="1" applyFill="1" applyBorder="1" applyAlignment="1" applyProtection="1">
      <alignment horizontal="center" vertical="center" shrinkToFit="1"/>
      <protection locked="0"/>
    </xf>
    <xf numFmtId="14" fontId="16" fillId="0" borderId="16" xfId="0" applyNumberFormat="1" applyFont="1" applyBorder="1" applyAlignment="1">
      <alignment horizontal="center" vertical="center"/>
    </xf>
    <xf numFmtId="164" fontId="16" fillId="0" borderId="19" xfId="0" applyNumberFormat="1" applyFont="1" applyBorder="1" applyAlignment="1">
      <alignment horizontal="center" vertical="center"/>
    </xf>
    <xf numFmtId="164" fontId="15" fillId="0" borderId="0" xfId="2" applyNumberFormat="1" applyFont="1" applyAlignment="1">
      <alignment horizontal="center" vertical="center"/>
    </xf>
    <xf numFmtId="165" fontId="0" fillId="0" borderId="4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10" fillId="0" borderId="16" xfId="0" applyFont="1" applyBorder="1" applyAlignment="1">
      <alignment horizontal="center"/>
    </xf>
    <xf numFmtId="2" fontId="9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16" fillId="3" borderId="16" xfId="0" applyFont="1" applyFill="1" applyBorder="1" applyAlignment="1">
      <alignment horizontal="center" vertical="center"/>
    </xf>
    <xf numFmtId="165" fontId="16" fillId="3" borderId="16" xfId="2" applyFont="1" applyFill="1" applyBorder="1" applyAlignment="1">
      <alignment horizontal="center" vertical="center"/>
    </xf>
    <xf numFmtId="14" fontId="16" fillId="0" borderId="16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165" fontId="16" fillId="15" borderId="16" xfId="2" applyFont="1" applyFill="1" applyBorder="1" applyAlignment="1">
      <alignment horizontal="center" vertical="center"/>
    </xf>
    <xf numFmtId="0" fontId="16" fillId="15" borderId="16" xfId="0" applyFont="1" applyFill="1" applyBorder="1" applyAlignment="1">
      <alignment horizontal="center" vertical="center"/>
    </xf>
    <xf numFmtId="14" fontId="16" fillId="15" borderId="16" xfId="0" applyNumberFormat="1" applyFont="1" applyFill="1" applyBorder="1" applyAlignment="1">
      <alignment horizontal="center" vertical="center"/>
    </xf>
    <xf numFmtId="14" fontId="15" fillId="0" borderId="19" xfId="0" applyNumberFormat="1" applyFont="1" applyBorder="1" applyAlignment="1">
      <alignment horizontal="center" vertical="center"/>
    </xf>
    <xf numFmtId="7" fontId="15" fillId="0" borderId="19" xfId="0" applyNumberFormat="1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44" fontId="15" fillId="0" borderId="18" xfId="2" applyNumberFormat="1" applyFont="1" applyBorder="1" applyAlignment="1">
      <alignment horizontal="center" vertical="center"/>
    </xf>
    <xf numFmtId="14" fontId="15" fillId="0" borderId="18" xfId="0" applyNumberFormat="1" applyFont="1" applyBorder="1" applyAlignment="1">
      <alignment horizontal="center" vertical="center"/>
    </xf>
    <xf numFmtId="0" fontId="1" fillId="3" borderId="0" xfId="0" applyFont="1" applyFill="1" applyAlignment="1" applyProtection="1">
      <alignment horizontal="left"/>
      <protection locked="0"/>
    </xf>
    <xf numFmtId="0" fontId="3" fillId="3" borderId="0" xfId="1" applyFont="1" applyFill="1" applyBorder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left"/>
      <protection locked="0"/>
    </xf>
    <xf numFmtId="0" fontId="4" fillId="3" borderId="0" xfId="0" applyFont="1" applyFill="1" applyProtection="1">
      <protection locked="0"/>
    </xf>
    <xf numFmtId="0" fontId="13" fillId="5" borderId="5" xfId="1" quotePrefix="1" applyFont="1" applyFill="1" applyBorder="1" applyAlignment="1" applyProtection="1">
      <alignment horizontal="center" vertical="center"/>
    </xf>
    <xf numFmtId="0" fontId="13" fillId="5" borderId="7" xfId="1" quotePrefix="1" applyFont="1" applyFill="1" applyBorder="1" applyAlignment="1" applyProtection="1">
      <alignment horizontal="center" vertical="center"/>
    </xf>
    <xf numFmtId="0" fontId="13" fillId="5" borderId="6" xfId="1" quotePrefix="1" applyFont="1" applyFill="1" applyBorder="1" applyAlignment="1" applyProtection="1">
      <alignment horizontal="center" vertical="center"/>
    </xf>
    <xf numFmtId="14" fontId="7" fillId="5" borderId="5" xfId="0" quotePrefix="1" applyNumberFormat="1" applyFont="1" applyFill="1" applyBorder="1" applyAlignment="1">
      <alignment horizontal="center" vertical="center"/>
    </xf>
    <xf numFmtId="0" fontId="7" fillId="5" borderId="7" xfId="0" quotePrefix="1" applyFont="1" applyFill="1" applyBorder="1" applyAlignment="1">
      <alignment horizontal="center" vertical="center"/>
    </xf>
    <xf numFmtId="0" fontId="7" fillId="5" borderId="6" xfId="0" quotePrefix="1" applyFont="1" applyFill="1" applyBorder="1" applyAlignment="1">
      <alignment horizontal="center" vertical="center"/>
    </xf>
    <xf numFmtId="166" fontId="4" fillId="3" borderId="5" xfId="0" applyNumberFormat="1" applyFont="1" applyFill="1" applyBorder="1" applyAlignment="1">
      <alignment horizontal="right" vertical="center"/>
    </xf>
    <xf numFmtId="166" fontId="4" fillId="3" borderId="7" xfId="0" applyNumberFormat="1" applyFont="1" applyFill="1" applyBorder="1" applyAlignment="1">
      <alignment horizontal="right" vertical="center"/>
    </xf>
    <xf numFmtId="166" fontId="4" fillId="3" borderId="1" xfId="0" applyNumberFormat="1" applyFont="1" applyFill="1" applyBorder="1" applyAlignment="1">
      <alignment horizontal="right" vertical="center"/>
    </xf>
    <xf numFmtId="0" fontId="17" fillId="7" borderId="7" xfId="0" applyFont="1" applyFill="1" applyBorder="1" applyAlignment="1" applyProtection="1">
      <alignment horizontal="center" vertical="center" wrapText="1"/>
      <protection locked="0"/>
    </xf>
    <xf numFmtId="0" fontId="4" fillId="6" borderId="7" xfId="0" applyFont="1" applyFill="1" applyBorder="1" applyAlignment="1" applyProtection="1">
      <alignment horizontal="right" vertical="center"/>
      <protection locked="0"/>
    </xf>
    <xf numFmtId="0" fontId="4" fillId="6" borderId="6" xfId="0" applyFont="1" applyFill="1" applyBorder="1" applyAlignment="1" applyProtection="1">
      <alignment horizontal="right" vertical="center"/>
      <protection locked="0"/>
    </xf>
    <xf numFmtId="166" fontId="4" fillId="3" borderId="5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>
      <alignment vertical="center"/>
    </xf>
    <xf numFmtId="166" fontId="4" fillId="3" borderId="1" xfId="0" applyNumberFormat="1" applyFont="1" applyFill="1" applyBorder="1" applyAlignment="1">
      <alignment vertical="center"/>
    </xf>
    <xf numFmtId="166" fontId="4" fillId="3" borderId="6" xfId="0" applyNumberFormat="1" applyFont="1" applyFill="1" applyBorder="1" applyAlignment="1">
      <alignment vertical="center"/>
    </xf>
    <xf numFmtId="0" fontId="17" fillId="7" borderId="6" xfId="0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4" fillId="3" borderId="0" xfId="0" applyFont="1" applyFill="1" applyAlignment="1" applyProtection="1">
      <alignment vertical="center"/>
      <protection locked="0"/>
    </xf>
    <xf numFmtId="0" fontId="3" fillId="3" borderId="0" xfId="1" applyFont="1" applyFill="1" applyBorder="1" applyAlignment="1" applyProtection="1">
      <alignment horizontal="left" vertical="center"/>
      <protection locked="0"/>
    </xf>
    <xf numFmtId="0" fontId="1" fillId="3" borderId="13" xfId="0" applyFont="1" applyFill="1" applyBorder="1" applyAlignment="1" applyProtection="1">
      <alignment horizontal="left"/>
      <protection locked="0"/>
    </xf>
    <xf numFmtId="0" fontId="3" fillId="3" borderId="13" xfId="1" applyFont="1" applyFill="1" applyBorder="1" applyAlignment="1" applyProtection="1">
      <alignment horizontal="left"/>
      <protection locked="0"/>
    </xf>
    <xf numFmtId="0" fontId="13" fillId="5" borderId="23" xfId="1" quotePrefix="1" applyFont="1" applyFill="1" applyBorder="1" applyAlignment="1" applyProtection="1">
      <alignment horizontal="center" vertical="center"/>
    </xf>
    <xf numFmtId="0" fontId="13" fillId="5" borderId="24" xfId="1" quotePrefix="1" applyFont="1" applyFill="1" applyBorder="1" applyAlignment="1" applyProtection="1">
      <alignment horizontal="center" vertical="center"/>
    </xf>
    <xf numFmtId="0" fontId="7" fillId="5" borderId="24" xfId="0" quotePrefix="1" applyFont="1" applyFill="1" applyBorder="1" applyAlignment="1">
      <alignment horizontal="center" vertical="center"/>
    </xf>
    <xf numFmtId="0" fontId="17" fillId="9" borderId="7" xfId="0" applyFont="1" applyFill="1" applyBorder="1" applyAlignment="1" applyProtection="1">
      <alignment horizontal="center" vertical="center" wrapText="1"/>
      <protection locked="0"/>
    </xf>
    <xf numFmtId="0" fontId="17" fillId="9" borderId="24" xfId="0" applyFont="1" applyFill="1" applyBorder="1" applyAlignment="1" applyProtection="1">
      <alignment horizontal="center" vertical="center" wrapText="1"/>
      <protection locked="0"/>
    </xf>
    <xf numFmtId="166" fontId="27" fillId="0" borderId="5" xfId="0" applyNumberFormat="1" applyFont="1" applyBorder="1" applyAlignment="1">
      <alignment horizontal="right" vertical="center"/>
    </xf>
    <xf numFmtId="166" fontId="27" fillId="0" borderId="24" xfId="0" applyNumberFormat="1" applyFont="1" applyBorder="1" applyAlignment="1">
      <alignment horizontal="right" vertical="center"/>
    </xf>
    <xf numFmtId="0" fontId="27" fillId="0" borderId="24" xfId="0" applyFont="1" applyBorder="1" applyAlignment="1">
      <alignment horizontal="right" vertical="center"/>
    </xf>
    <xf numFmtId="166" fontId="27" fillId="0" borderId="31" xfId="0" applyNumberFormat="1" applyFont="1" applyBorder="1" applyAlignment="1">
      <alignment horizontal="right" vertical="center"/>
    </xf>
    <xf numFmtId="0" fontId="27" fillId="0" borderId="32" xfId="0" applyFont="1" applyBorder="1" applyAlignment="1">
      <alignment horizontal="right" vertical="center"/>
    </xf>
    <xf numFmtId="0" fontId="27" fillId="6" borderId="7" xfId="0" applyFont="1" applyFill="1" applyBorder="1" applyAlignment="1">
      <alignment horizontal="right" vertical="center"/>
    </xf>
    <xf numFmtId="0" fontId="27" fillId="6" borderId="6" xfId="0" applyFont="1" applyFill="1" applyBorder="1" applyAlignment="1">
      <alignment horizontal="right" vertical="center"/>
    </xf>
    <xf numFmtId="0" fontId="27" fillId="6" borderId="29" xfId="0" applyFont="1" applyFill="1" applyBorder="1" applyAlignment="1">
      <alignment horizontal="right" vertical="center"/>
    </xf>
    <xf numFmtId="0" fontId="27" fillId="6" borderId="30" xfId="0" applyFont="1" applyFill="1" applyBorder="1" applyAlignment="1">
      <alignment horizontal="right" vertical="center"/>
    </xf>
    <xf numFmtId="0" fontId="27" fillId="6" borderId="7" xfId="0" applyFont="1" applyFill="1" applyBorder="1" applyAlignment="1">
      <alignment horizontal="center" vertical="center"/>
    </xf>
    <xf numFmtId="166" fontId="4" fillId="3" borderId="24" xfId="0" applyNumberFormat="1" applyFont="1" applyFill="1" applyBorder="1" applyAlignment="1">
      <alignment vertical="center"/>
    </xf>
    <xf numFmtId="0" fontId="4" fillId="6" borderId="29" xfId="0" applyFont="1" applyFill="1" applyBorder="1" applyAlignment="1" applyProtection="1">
      <alignment horizontal="right" vertical="center"/>
      <protection locked="0"/>
    </xf>
    <xf numFmtId="0" fontId="4" fillId="6" borderId="30" xfId="0" applyFont="1" applyFill="1" applyBorder="1" applyAlignment="1" applyProtection="1">
      <alignment horizontal="right" vertical="center"/>
      <protection locked="0"/>
    </xf>
    <xf numFmtId="166" fontId="4" fillId="3" borderId="31" xfId="0" applyNumberFormat="1" applyFont="1" applyFill="1" applyBorder="1" applyAlignment="1">
      <alignment vertical="center"/>
    </xf>
    <xf numFmtId="166" fontId="4" fillId="3" borderId="32" xfId="0" applyNumberFormat="1" applyFont="1" applyFill="1" applyBorder="1" applyAlignment="1">
      <alignment vertical="center"/>
    </xf>
    <xf numFmtId="0" fontId="4" fillId="3" borderId="11" xfId="0" applyFont="1" applyFill="1" applyBorder="1" applyProtection="1">
      <protection locked="0"/>
    </xf>
    <xf numFmtId="0" fontId="13" fillId="5" borderId="5" xfId="1" quotePrefix="1" applyFont="1" applyFill="1" applyBorder="1" applyAlignment="1" applyProtection="1">
      <alignment horizontal="center" vertical="center"/>
      <protection locked="0"/>
    </xf>
    <xf numFmtId="0" fontId="13" fillId="5" borderId="7" xfId="1" quotePrefix="1" applyFont="1" applyFill="1" applyBorder="1" applyAlignment="1" applyProtection="1">
      <alignment horizontal="center" vertical="center"/>
      <protection locked="0"/>
    </xf>
    <xf numFmtId="14" fontId="7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7" fillId="5" borderId="7" xfId="0" quotePrefix="1" applyFont="1" applyFill="1" applyBorder="1" applyAlignment="1" applyProtection="1">
      <alignment horizontal="center" vertical="center"/>
      <protection locked="0"/>
    </xf>
    <xf numFmtId="0" fontId="7" fillId="5" borderId="6" xfId="0" quotePrefix="1" applyFont="1" applyFill="1" applyBorder="1" applyAlignment="1" applyProtection="1">
      <alignment horizontal="center" vertical="center"/>
      <protection locked="0"/>
    </xf>
    <xf numFmtId="0" fontId="12" fillId="4" borderId="35" xfId="1" quotePrefix="1" applyFont="1" applyFill="1" applyBorder="1" applyAlignment="1" applyProtection="1">
      <alignment horizontal="center" vertical="center"/>
      <protection locked="0"/>
    </xf>
    <xf numFmtId="0" fontId="12" fillId="4" borderId="36" xfId="1" quotePrefix="1" applyFont="1" applyFill="1" applyBorder="1" applyAlignment="1" applyProtection="1">
      <alignment horizontal="center" vertical="center"/>
      <protection locked="0"/>
    </xf>
    <xf numFmtId="0" fontId="13" fillId="10" borderId="0" xfId="1" applyFont="1" applyFill="1" applyAlignment="1" applyProtection="1">
      <alignment horizontal="center" vertical="center"/>
    </xf>
    <xf numFmtId="0" fontId="2" fillId="10" borderId="0" xfId="1" applyFill="1" applyAlignment="1" applyProtection="1">
      <alignment horizontal="center" vertical="center"/>
    </xf>
    <xf numFmtId="0" fontId="22" fillId="10" borderId="34" xfId="1" applyFont="1" applyFill="1" applyBorder="1" applyAlignment="1" applyProtection="1">
      <alignment horizontal="center" vertical="center"/>
    </xf>
    <xf numFmtId="0" fontId="2" fillId="10" borderId="34" xfId="1" applyFill="1" applyBorder="1" applyAlignment="1" applyProtection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6"/>
          <bgColor theme="6"/>
        </patternFill>
      </fill>
      <alignment horizontal="center" vertical="bottom" textRotation="0" wrapText="0" indent="0" justifyLastLine="0" shrinkToFit="0" readingOrder="0"/>
    </dxf>
    <dxf>
      <numFmt numFmtId="165" formatCode="_-&quot;$&quot;* #,##0.00_-;\-&quot;$&quot;* #,##0.00_-;_-&quot;$&quot;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5" formatCode="_-&quot;$&quot;* #,##0.00_-;\-&quot;$&quot;* #,##0.00_-;_-&quot;$&quot;* &quot;-&quot;??_-;_-@_-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_-&quot;$&quot;* #,##0.00_-;\-&quot;$&quot;* #,##0.00_-;_-&quot;$&quot;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-&quot;$&quot;* #,##0.00_-;\-&quot;$&quot;* #,##0.00_-;_-&quot;$&quot;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_-&quot;$&quot;* #,##0.00_-;\-&quot;$&quot;* #,##0.00_-;_-&quot;$&quot;* &quot;-&quot;??_-;_-@_-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1" formatCode="&quot;$&quot;\ #,##0.00;\-&quot;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34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numFmt numFmtId="168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auto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5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5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5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5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4" formatCode="&quot;$&quot;#,##0.00;[Red]\-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5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5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gradientFill type="path">
          <stop position="0">
            <color rgb="FF84F4CF"/>
          </stop>
          <stop position="1">
            <color rgb="FF84F4CF"/>
          </stop>
        </gradientFill>
      </fill>
      <alignment horizontal="center" vertical="center" textRotation="0" wrapText="1" indent="0" justifyLastLine="0" shrinkToFit="0" readingOrder="0"/>
      <border diagonalUp="0" diagonalDown="0">
        <left style="medium">
          <color theme="1"/>
        </left>
        <right style="medium">
          <color theme="1"/>
        </right>
        <top/>
        <bottom/>
        <vertical style="medium">
          <color theme="1"/>
        </vertical>
        <horizontal/>
      </border>
    </dxf>
    <dxf>
      <font>
        <b/>
        <i/>
        <strike val="0"/>
        <condense val="0"/>
        <extend val="0"/>
        <outline val="0"/>
        <shadow val="0"/>
        <u/>
        <vertAlign val="baseline"/>
        <sz val="10"/>
        <color rgb="FF0000FF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  <protection locked="0" hidden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Verdana"/>
        <family val="2"/>
        <scheme val="none"/>
      </font>
      <fill>
        <patternFill patternType="solid">
          <fgColor indexed="64"/>
          <bgColor rgb="FF84F4CF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66FF33"/>
      <color rgb="FF84F4CF"/>
      <color rgb="FF0000FF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FACTURACION ACUMULADA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INDEX!$A$9</c:f>
              <c:strCache>
                <c:ptCount val="1"/>
                <c:pt idx="0">
                  <c:v>CORDOBA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INDEX!$B$9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1-473E-9A56-7FBFFF5704EE}"/>
            </c:ext>
          </c:extLst>
        </c:ser>
        <c:ser>
          <c:idx val="1"/>
          <c:order val="1"/>
          <c:tx>
            <c:strRef>
              <c:f>INDEX!$A$10</c:f>
              <c:strCache>
                <c:ptCount val="1"/>
                <c:pt idx="0">
                  <c:v>DESPACHOS DESDE PLANTAS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A1-473E-9A56-7FBFFF5704EE}"/>
            </c:ext>
          </c:extLst>
        </c:ser>
        <c:ser>
          <c:idx val="2"/>
          <c:order val="2"/>
          <c:tx>
            <c:strRef>
              <c:f>INDEX!$A$11</c:f>
              <c:strCache>
                <c:ptCount val="1"/>
                <c:pt idx="0">
                  <c:v>DEVOLUCIONES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INDEX!$B$11</c:f>
              <c:numCache>
                <c:formatCode>[$$-2C0A]\ #,##0.00</c:formatCode>
                <c:ptCount val="1"/>
                <c:pt idx="0">
                  <c:v>2058.1999999999998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A1-473E-9A56-7FBFFF5704EE}"/>
            </c:ext>
          </c:extLst>
        </c:ser>
        <c:ser>
          <c:idx val="3"/>
          <c:order val="3"/>
          <c:tx>
            <c:strRef>
              <c:f>INDEX!$A$12</c:f>
              <c:strCache>
                <c:ptCount val="1"/>
                <c:pt idx="0">
                  <c:v>ENVIOS A PLANTAS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INDEX!$B$12</c:f>
              <c:numCache>
                <c:formatCode>[$$-2C0A]\ #,##0.00</c:formatCode>
                <c:ptCount val="1"/>
                <c:pt idx="0">
                  <c:v>284971.09999999998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A1-473E-9A56-7FBFFF5704EE}"/>
            </c:ext>
          </c:extLst>
        </c:ser>
        <c:ser>
          <c:idx val="4"/>
          <c:order val="4"/>
          <c:tx>
            <c:strRef>
              <c:f>INDEX!$A$13</c:f>
              <c:strCache>
                <c:ptCount val="1"/>
                <c:pt idx="0">
                  <c:v>INGRESOS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INDEX!$B$13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A1-473E-9A56-7FBFFF5704EE}"/>
            </c:ext>
          </c:extLst>
        </c:ser>
        <c:ser>
          <c:idx val="5"/>
          <c:order val="5"/>
          <c:tx>
            <c:strRef>
              <c:f>INDEX!$A$14</c:f>
              <c:strCache>
                <c:ptCount val="1"/>
                <c:pt idx="0">
                  <c:v>INGRESOS DE PUERTO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INDEX!$B$14</c:f>
              <c:numCache>
                <c:formatCode>[$$-2C0A]\ #,##0.00</c:formatCode>
                <c:ptCount val="1"/>
                <c:pt idx="0">
                  <c:v>171610.2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A1-473E-9A56-7FBFFF5704EE}"/>
            </c:ext>
          </c:extLst>
        </c:ser>
        <c:ser>
          <c:idx val="6"/>
          <c:order val="6"/>
          <c:tx>
            <c:strRef>
              <c:f>INDEX!$A$15</c:f>
              <c:strCache>
                <c:ptCount val="1"/>
                <c:pt idx="0">
                  <c:v>INSUMOS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INDEX!$B$15</c:f>
              <c:numCache>
                <c:formatCode>[$$-2C0A]\ #,##0.00</c:formatCode>
                <c:ptCount val="1"/>
                <c:pt idx="0">
                  <c:v>30520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7A1-473E-9A56-7FBFFF5704EE}"/>
            </c:ext>
          </c:extLst>
        </c:ser>
        <c:ser>
          <c:idx val="7"/>
          <c:order val="7"/>
          <c:tx>
            <c:strRef>
              <c:f>INDEX!$A$16</c:f>
              <c:strCache>
                <c:ptCount val="1"/>
                <c:pt idx="0">
                  <c:v>MUDANZA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A1-473E-9A56-7FBFFF5704EE}"/>
            </c:ext>
          </c:extLst>
        </c:ser>
        <c:ser>
          <c:idx val="8"/>
          <c:order val="8"/>
          <c:tx>
            <c:strRef>
              <c:f>INDEX!$A$17</c:f>
              <c:strCache>
                <c:ptCount val="1"/>
                <c:pt idx="0">
                  <c:v>PUERTO-PIBERA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INDEX!$B$17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A1-473E-9A56-7FBFFF5704EE}"/>
            </c:ext>
          </c:extLst>
        </c:ser>
        <c:ser>
          <c:idx val="9"/>
          <c:order val="9"/>
          <c:tx>
            <c:strRef>
              <c:f>INDEX!$A$18</c:f>
              <c:strCache>
                <c:ptCount val="1"/>
                <c:pt idx="0">
                  <c:v>ESPECIALES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INDEX!$B$18</c:f>
              <c:numCache>
                <c:formatCode>[$$-2C0A]\ #,##0.00</c:formatCode>
                <c:ptCount val="1"/>
                <c:pt idx="0">
                  <c:v>30520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7A1-473E-9A56-7FBFFF5704EE}"/>
            </c:ext>
          </c:extLst>
        </c:ser>
        <c:ser>
          <c:idx val="10"/>
          <c:order val="10"/>
          <c:tx>
            <c:strRef>
              <c:f>INDEX!$A$19</c:f>
              <c:strCache>
                <c:ptCount val="1"/>
                <c:pt idx="0">
                  <c:v>INGRESOS DESDE PLANTAS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INDEX!$B$19</c:f>
              <c:numCache>
                <c:formatCode>[$$-2C0A]\ #,##0.00</c:formatCode>
                <c:ptCount val="1"/>
                <c:pt idx="0">
                  <c:v>732310.69999999984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6E-4711-A93E-1F3D92383357}"/>
            </c:ext>
          </c:extLst>
        </c:ser>
        <c:ser>
          <c:idx val="11"/>
          <c:order val="11"/>
          <c:tx>
            <c:strRef>
              <c:f>INDEX!$A$20</c:f>
              <c:strCache>
                <c:ptCount val="1"/>
                <c:pt idx="0">
                  <c:v>DESPACHOS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INDEX!$B$20</c:f>
              <c:numCache>
                <c:formatCode>[$$-2C0A]\ #,##0.00</c:formatCode>
                <c:ptCount val="1"/>
                <c:pt idx="0">
                  <c:v>3851869.3038999969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6E-4711-A93E-1F3D92383357}"/>
            </c:ext>
          </c:extLst>
        </c:ser>
        <c:ser>
          <c:idx val="12"/>
          <c:order val="12"/>
          <c:tx>
            <c:strRef>
              <c:f>INDEX!$A$21</c:f>
              <c:strCache>
                <c:ptCount val="1"/>
                <c:pt idx="0">
                  <c:v>PUERTO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INDEX!$B$21</c:f>
              <c:numCache>
                <c:formatCode>[$$-2C0A]\ #,##0.00</c:formatCode>
                <c:ptCount val="1"/>
                <c:pt idx="0">
                  <c:v>5129902.9199999832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6E-4711-A93E-1F3D923833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57773840"/>
        <c:axId val="557774168"/>
      </c:barChart>
      <c:catAx>
        <c:axId val="557773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774168"/>
        <c:crosses val="autoZero"/>
        <c:auto val="1"/>
        <c:lblAlgn val="ctr"/>
        <c:lblOffset val="100"/>
        <c:noMultiLvlLbl val="0"/>
      </c:catAx>
      <c:valAx>
        <c:axId val="55777416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$$-2C0A]\ #,##0.00" sourceLinked="1"/>
        <c:majorTickMark val="out"/>
        <c:minorTickMark val="none"/>
        <c:tickLblPos val="nextTo"/>
        <c:crossAx val="55777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1CD191-FFDE-4085-A879-F223A501A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BB9F8A-E11B-4B52-9E10-5F711FC9A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504825</xdr:colOff>
      <xdr:row>2</xdr:row>
      <xdr:rowOff>0</xdr:rowOff>
    </xdr:from>
    <xdr:to>
      <xdr:col>2</xdr:col>
      <xdr:colOff>1855184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0B2C24A5-4AFC-496C-BD12-02F157B20930}"/>
            </a:ext>
          </a:extLst>
        </xdr:cNvPr>
        <xdr:cNvSpPr/>
      </xdr:nvSpPr>
      <xdr:spPr>
        <a:xfrm>
          <a:off x="40100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906816</xdr:colOff>
      <xdr:row>1</xdr:row>
      <xdr:rowOff>152400</xdr:rowOff>
    </xdr:from>
    <xdr:to>
      <xdr:col>4</xdr:col>
      <xdr:colOff>767681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922EDB12-40F0-4E30-8BFD-08DA2D5C6C97}"/>
            </a:ext>
          </a:extLst>
        </xdr:cNvPr>
        <xdr:cNvSpPr/>
      </xdr:nvSpPr>
      <xdr:spPr>
        <a:xfrm>
          <a:off x="74219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2219682</xdr:colOff>
      <xdr:row>1</xdr:row>
      <xdr:rowOff>152401</xdr:rowOff>
    </xdr:from>
    <xdr:to>
      <xdr:col>3</xdr:col>
      <xdr:colOff>563916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4661E1DD-C333-4401-8B8C-CE52C977F481}"/>
            </a:ext>
          </a:extLst>
        </xdr:cNvPr>
        <xdr:cNvSpPr/>
      </xdr:nvSpPr>
      <xdr:spPr>
        <a:xfrm>
          <a:off x="57248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CD7BE18-4389-47E6-BACB-32B65A21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D72DF38-EBCE-4751-BFDF-D59901E5C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581025</xdr:colOff>
      <xdr:row>2</xdr:row>
      <xdr:rowOff>0</xdr:rowOff>
    </xdr:from>
    <xdr:to>
      <xdr:col>2</xdr:col>
      <xdr:colOff>1931384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27DDF886-D4AD-4947-BAFA-DE74DC9F57A6}"/>
            </a:ext>
          </a:extLst>
        </xdr:cNvPr>
        <xdr:cNvSpPr/>
      </xdr:nvSpPr>
      <xdr:spPr>
        <a:xfrm>
          <a:off x="40862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983016</xdr:colOff>
      <xdr:row>1</xdr:row>
      <xdr:rowOff>152400</xdr:rowOff>
    </xdr:from>
    <xdr:to>
      <xdr:col>5</xdr:col>
      <xdr:colOff>72356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6816FE1A-C0E9-4321-88AF-81694D5F95BC}"/>
            </a:ext>
          </a:extLst>
        </xdr:cNvPr>
        <xdr:cNvSpPr/>
      </xdr:nvSpPr>
      <xdr:spPr>
        <a:xfrm>
          <a:off x="74981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2295882</xdr:colOff>
      <xdr:row>1</xdr:row>
      <xdr:rowOff>152401</xdr:rowOff>
    </xdr:from>
    <xdr:to>
      <xdr:col>3</xdr:col>
      <xdr:colOff>640116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1F892495-0301-425E-85B6-00F5070E46B0}"/>
            </a:ext>
          </a:extLst>
        </xdr:cNvPr>
        <xdr:cNvSpPr/>
      </xdr:nvSpPr>
      <xdr:spPr>
        <a:xfrm>
          <a:off x="58010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C0DA96-FC84-4841-8E3E-02830AB5F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4BBAAA-FF2A-4DE3-9D75-669F9CDA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1</xdr:row>
      <xdr:rowOff>142875</xdr:rowOff>
    </xdr:from>
    <xdr:to>
      <xdr:col>2</xdr:col>
      <xdr:colOff>1817084</xdr:colOff>
      <xdr:row>3</xdr:row>
      <xdr:rowOff>190141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2717F361-44A5-4AD6-A8BB-EAB3AE3C4834}"/>
            </a:ext>
          </a:extLst>
        </xdr:cNvPr>
        <xdr:cNvSpPr/>
      </xdr:nvSpPr>
      <xdr:spPr>
        <a:xfrm>
          <a:off x="3971925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868716</xdr:colOff>
      <xdr:row>1</xdr:row>
      <xdr:rowOff>133350</xdr:rowOff>
    </xdr:from>
    <xdr:to>
      <xdr:col>4</xdr:col>
      <xdr:colOff>729581</xdr:colOff>
      <xdr:row>3</xdr:row>
      <xdr:rowOff>187141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32912FEB-A62A-4E5D-A803-325BEBCF36BC}"/>
            </a:ext>
          </a:extLst>
        </xdr:cNvPr>
        <xdr:cNvSpPr/>
      </xdr:nvSpPr>
      <xdr:spPr>
        <a:xfrm>
          <a:off x="7383816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2181582</xdr:colOff>
      <xdr:row>1</xdr:row>
      <xdr:rowOff>133351</xdr:rowOff>
    </xdr:from>
    <xdr:to>
      <xdr:col>3</xdr:col>
      <xdr:colOff>525816</xdr:colOff>
      <xdr:row>3</xdr:row>
      <xdr:rowOff>187142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67ADC769-3B44-4613-8631-6753B88B8BF9}"/>
            </a:ext>
          </a:extLst>
        </xdr:cNvPr>
        <xdr:cNvSpPr/>
      </xdr:nvSpPr>
      <xdr:spPr>
        <a:xfrm>
          <a:off x="5686782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581024</xdr:colOff>
      <xdr:row>0</xdr:row>
      <xdr:rowOff>0</xdr:rowOff>
    </xdr:from>
    <xdr:to>
      <xdr:col>9</xdr:col>
      <xdr:colOff>1238251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B13E488-F4D4-4ABF-9C9A-6BC11E6AC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4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0</xdr:row>
      <xdr:rowOff>47625</xdr:rowOff>
    </xdr:from>
    <xdr:to>
      <xdr:col>1</xdr:col>
      <xdr:colOff>1028700</xdr:colOff>
      <xdr:row>4</xdr:row>
      <xdr:rowOff>150446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605696C-DA3D-420E-A768-0E4CD3032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47625"/>
          <a:ext cx="2171700" cy="798146"/>
        </a:xfrm>
        <a:prstGeom prst="rect">
          <a:avLst/>
        </a:prstGeom>
      </xdr:spPr>
    </xdr:pic>
    <xdr:clientData/>
  </xdr:twoCellAnchor>
  <xdr:twoCellAnchor>
    <xdr:from>
      <xdr:col>3</xdr:col>
      <xdr:colOff>885825</xdr:colOff>
      <xdr:row>2</xdr:row>
      <xdr:rowOff>0</xdr:rowOff>
    </xdr:from>
    <xdr:to>
      <xdr:col>3</xdr:col>
      <xdr:colOff>2236184</xdr:colOff>
      <xdr:row>3</xdr:row>
      <xdr:rowOff>209191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35255632-30FE-41AD-BADB-1E1C8953BC95}"/>
            </a:ext>
          </a:extLst>
        </xdr:cNvPr>
        <xdr:cNvSpPr/>
      </xdr:nvSpPr>
      <xdr:spPr>
        <a:xfrm>
          <a:off x="38195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4</xdr:col>
      <xdr:colOff>1287816</xdr:colOff>
      <xdr:row>1</xdr:row>
      <xdr:rowOff>152400</xdr:rowOff>
    </xdr:from>
    <xdr:to>
      <xdr:col>6</xdr:col>
      <xdr:colOff>377156</xdr:colOff>
      <xdr:row>3</xdr:row>
      <xdr:rowOff>206191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C9102011-86D8-4A81-AAF4-BDB417C3F17B}"/>
            </a:ext>
          </a:extLst>
        </xdr:cNvPr>
        <xdr:cNvSpPr/>
      </xdr:nvSpPr>
      <xdr:spPr>
        <a:xfrm>
          <a:off x="72314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3</xdr:col>
      <xdr:colOff>2600682</xdr:colOff>
      <xdr:row>1</xdr:row>
      <xdr:rowOff>152401</xdr:rowOff>
    </xdr:from>
    <xdr:to>
      <xdr:col>4</xdr:col>
      <xdr:colOff>944916</xdr:colOff>
      <xdr:row>3</xdr:row>
      <xdr:rowOff>206192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1D3856CC-1A39-4ED5-97EE-840BB2351729}"/>
            </a:ext>
          </a:extLst>
        </xdr:cNvPr>
        <xdr:cNvSpPr/>
      </xdr:nvSpPr>
      <xdr:spPr>
        <a:xfrm>
          <a:off x="55343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C5346B-3AF4-4592-B9A4-9BA415DF8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B276E46-000B-4866-9426-9A9F0A2F4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F7D6E3A1-A658-4980-A858-E78D9A823026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AF2CA771-2637-49DB-BD3A-21F0FAAAA82C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3F87F5B8-5E7A-44D9-8D04-0D6C06FA5009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8</xdr:col>
      <xdr:colOff>0</xdr:colOff>
      <xdr:row>4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DA074FB-C6ED-41CC-9DC8-0CEF804FE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790575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9BFD7B7-9932-4C94-8F01-33FD59108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685800</xdr:colOff>
      <xdr:row>1</xdr:row>
      <xdr:rowOff>114300</xdr:rowOff>
    </xdr:from>
    <xdr:to>
      <xdr:col>2</xdr:col>
      <xdr:colOff>2036159</xdr:colOff>
      <xdr:row>3</xdr:row>
      <xdr:rowOff>161566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A7C408E2-4328-438D-9F1A-66001F5174E5}"/>
            </a:ext>
          </a:extLst>
        </xdr:cNvPr>
        <xdr:cNvSpPr/>
      </xdr:nvSpPr>
      <xdr:spPr>
        <a:xfrm>
          <a:off x="3781425" y="276225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1087791</xdr:colOff>
      <xdr:row>1</xdr:row>
      <xdr:rowOff>104775</xdr:rowOff>
    </xdr:from>
    <xdr:to>
      <xdr:col>4</xdr:col>
      <xdr:colOff>948656</xdr:colOff>
      <xdr:row>3</xdr:row>
      <xdr:rowOff>158566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7BDB0345-4D8B-4775-8CAE-446445E887CC}"/>
            </a:ext>
          </a:extLst>
        </xdr:cNvPr>
        <xdr:cNvSpPr/>
      </xdr:nvSpPr>
      <xdr:spPr>
        <a:xfrm>
          <a:off x="7193316" y="266700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2400657</xdr:colOff>
      <xdr:row>1</xdr:row>
      <xdr:rowOff>104776</xdr:rowOff>
    </xdr:from>
    <xdr:to>
      <xdr:col>3</xdr:col>
      <xdr:colOff>744891</xdr:colOff>
      <xdr:row>3</xdr:row>
      <xdr:rowOff>158567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8CEED93F-5AF6-4AB8-AC14-C035680B0D87}"/>
            </a:ext>
          </a:extLst>
        </xdr:cNvPr>
        <xdr:cNvSpPr/>
      </xdr:nvSpPr>
      <xdr:spPr>
        <a:xfrm>
          <a:off x="5496282" y="266701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8</xdr:col>
      <xdr:colOff>0</xdr:colOff>
      <xdr:row>4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30D2893-64FF-4B06-BF0B-184A927C1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9699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790575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E4BA48E-939C-4BA9-AED4-9252CEBA8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685800</xdr:colOff>
      <xdr:row>1</xdr:row>
      <xdr:rowOff>114300</xdr:rowOff>
    </xdr:from>
    <xdr:to>
      <xdr:col>2</xdr:col>
      <xdr:colOff>2036159</xdr:colOff>
      <xdr:row>3</xdr:row>
      <xdr:rowOff>161566</xdr:rowOff>
    </xdr:to>
    <xdr:sp macro="[0]!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AD52A62B-8DC2-4DB0-82CF-F0C76637081B}"/>
            </a:ext>
          </a:extLst>
        </xdr:cNvPr>
        <xdr:cNvSpPr/>
      </xdr:nvSpPr>
      <xdr:spPr>
        <a:xfrm>
          <a:off x="3781425" y="276225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1087791</xdr:colOff>
      <xdr:row>1</xdr:row>
      <xdr:rowOff>104775</xdr:rowOff>
    </xdr:from>
    <xdr:to>
      <xdr:col>4</xdr:col>
      <xdr:colOff>948656</xdr:colOff>
      <xdr:row>3</xdr:row>
      <xdr:rowOff>158566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5BA4EDAC-D38E-4DA7-A8B6-8DFBFF700ACC}"/>
            </a:ext>
          </a:extLst>
        </xdr:cNvPr>
        <xdr:cNvSpPr/>
      </xdr:nvSpPr>
      <xdr:spPr>
        <a:xfrm>
          <a:off x="7193316" y="266700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2400657</xdr:colOff>
      <xdr:row>1</xdr:row>
      <xdr:rowOff>104776</xdr:rowOff>
    </xdr:from>
    <xdr:to>
      <xdr:col>3</xdr:col>
      <xdr:colOff>744891</xdr:colOff>
      <xdr:row>3</xdr:row>
      <xdr:rowOff>158567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25F0C81C-6834-458C-8F06-998F4D763CE4}"/>
            </a:ext>
          </a:extLst>
        </xdr:cNvPr>
        <xdr:cNvSpPr/>
      </xdr:nvSpPr>
      <xdr:spPr>
        <a:xfrm>
          <a:off x="5496282" y="266701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606050</xdr:colOff>
      <xdr:row>0</xdr:row>
      <xdr:rowOff>36050</xdr:rowOff>
    </xdr:from>
    <xdr:to>
      <xdr:col>11</xdr:col>
      <xdr:colOff>1350868</xdr:colOff>
      <xdr:row>4</xdr:row>
      <xdr:rowOff>26895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E6BDABA-01EB-43A0-8322-44F534FFD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5791" y="36050"/>
          <a:ext cx="2977030" cy="71698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817470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B7E4948-007B-4803-983F-48683B08F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2133600</xdr:colOff>
      <xdr:row>1</xdr:row>
      <xdr:rowOff>57150</xdr:rowOff>
    </xdr:from>
    <xdr:to>
      <xdr:col>3</xdr:col>
      <xdr:colOff>473700</xdr:colOff>
      <xdr:row>3</xdr:row>
      <xdr:rowOff>104775</xdr:rowOff>
    </xdr:to>
    <xdr:sp macro="[0]!Guardar_Datos.Guardar_Datos" textlink="">
      <xdr:nvSpPr>
        <xdr:cNvPr id="7" name="Rectángulo 6">
          <a:extLst>
            <a:ext uri="{FF2B5EF4-FFF2-40B4-BE49-F238E27FC236}">
              <a16:creationId xmlns:a16="http://schemas.microsoft.com/office/drawing/2014/main" id="{05EDFB4B-EED8-4D15-BEA5-75FE4B2756CD}"/>
            </a:ext>
          </a:extLst>
        </xdr:cNvPr>
        <xdr:cNvSpPr/>
      </xdr:nvSpPr>
      <xdr:spPr>
        <a:xfrm>
          <a:off x="4876800" y="219075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5</xdr:col>
      <xdr:colOff>1201520</xdr:colOff>
      <xdr:row>1</xdr:row>
      <xdr:rowOff>47625</xdr:rowOff>
    </xdr:from>
    <xdr:to>
      <xdr:col>6</xdr:col>
      <xdr:colOff>908738</xdr:colOff>
      <xdr:row>3</xdr:row>
      <xdr:rowOff>101775</xdr:rowOff>
    </xdr:to>
    <xdr:sp macro="[0]!Limpiar_datos.Limpiar_datos" textlink="">
      <xdr:nvSpPr>
        <xdr:cNvPr id="8" name="Rectángulo 7">
          <a:extLst>
            <a:ext uri="{FF2B5EF4-FFF2-40B4-BE49-F238E27FC236}">
              <a16:creationId xmlns:a16="http://schemas.microsoft.com/office/drawing/2014/main" id="{05A095DF-1718-4F33-9267-45B3C6160636}"/>
            </a:ext>
          </a:extLst>
        </xdr:cNvPr>
        <xdr:cNvSpPr/>
      </xdr:nvSpPr>
      <xdr:spPr>
        <a:xfrm>
          <a:off x="10849785" y="204507"/>
          <a:ext cx="1780306" cy="36791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3</xdr:col>
      <xdr:colOff>838198</xdr:colOff>
      <xdr:row>1</xdr:row>
      <xdr:rowOff>47626</xdr:rowOff>
    </xdr:from>
    <xdr:to>
      <xdr:col>5</xdr:col>
      <xdr:colOff>470647</xdr:colOff>
      <xdr:row>3</xdr:row>
      <xdr:rowOff>101776</xdr:rowOff>
    </xdr:to>
    <xdr:sp macro="[0]!Imprimir_Detalle" textlink="">
      <xdr:nvSpPr>
        <xdr:cNvPr id="9" name="Rectángulo 8">
          <a:extLst>
            <a:ext uri="{FF2B5EF4-FFF2-40B4-BE49-F238E27FC236}">
              <a16:creationId xmlns:a16="http://schemas.microsoft.com/office/drawing/2014/main" id="{9D901A17-3B88-4DA7-A89E-CFF3D01E2F0D}"/>
            </a:ext>
          </a:extLst>
        </xdr:cNvPr>
        <xdr:cNvSpPr/>
      </xdr:nvSpPr>
      <xdr:spPr>
        <a:xfrm>
          <a:off x="7225551" y="204508"/>
          <a:ext cx="2893361" cy="36791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  <xdr:twoCellAnchor>
    <xdr:from>
      <xdr:col>6</xdr:col>
      <xdr:colOff>1501589</xdr:colOff>
      <xdr:row>1</xdr:row>
      <xdr:rowOff>56029</xdr:rowOff>
    </xdr:from>
    <xdr:to>
      <xdr:col>8</xdr:col>
      <xdr:colOff>166659</xdr:colOff>
      <xdr:row>4</xdr:row>
      <xdr:rowOff>22411</xdr:rowOff>
    </xdr:to>
    <xdr:sp macro="[0]!caba_int" textlink="">
      <xdr:nvSpPr>
        <xdr:cNvPr id="10" name="Rectángulo 9">
          <a:extLst>
            <a:ext uri="{FF2B5EF4-FFF2-40B4-BE49-F238E27FC236}">
              <a16:creationId xmlns:a16="http://schemas.microsoft.com/office/drawing/2014/main" id="{AA7F46BB-DEEA-4334-92CE-FB1F2FAAC9DE}"/>
            </a:ext>
          </a:extLst>
        </xdr:cNvPr>
        <xdr:cNvSpPr/>
      </xdr:nvSpPr>
      <xdr:spPr>
        <a:xfrm>
          <a:off x="13222942" y="212911"/>
          <a:ext cx="1354482" cy="49305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VALORIZAR CABA</a:t>
          </a:r>
        </a:p>
      </xdr:txBody>
    </xdr:sp>
    <xdr:clientData fPrintsWithSheet="0"/>
  </xdr:twoCellAnchor>
  <xdr:twoCellAnchor>
    <xdr:from>
      <xdr:col>8</xdr:col>
      <xdr:colOff>347382</xdr:colOff>
      <xdr:row>1</xdr:row>
      <xdr:rowOff>67236</xdr:rowOff>
    </xdr:from>
    <xdr:to>
      <xdr:col>9</xdr:col>
      <xdr:colOff>581276</xdr:colOff>
      <xdr:row>4</xdr:row>
      <xdr:rowOff>25277</xdr:rowOff>
    </xdr:to>
    <xdr:sp macro="[0]!caba_int" textlink="">
      <xdr:nvSpPr>
        <xdr:cNvPr id="11" name="Rectángulo 10">
          <a:extLst>
            <a:ext uri="{FF2B5EF4-FFF2-40B4-BE49-F238E27FC236}">
              <a16:creationId xmlns:a16="http://schemas.microsoft.com/office/drawing/2014/main" id="{19000554-A938-4FD0-9619-7EA1223C9DCD}"/>
            </a:ext>
          </a:extLst>
        </xdr:cNvPr>
        <xdr:cNvSpPr/>
      </xdr:nvSpPr>
      <xdr:spPr>
        <a:xfrm>
          <a:off x="14758147" y="224118"/>
          <a:ext cx="1354482" cy="48471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VALORIZAR INTERIOR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9525</xdr:rowOff>
    </xdr:from>
    <xdr:to>
      <xdr:col>7</xdr:col>
      <xdr:colOff>1638300</xdr:colOff>
      <xdr:row>4</xdr:row>
      <xdr:rowOff>190500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72524" y="9525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1057275</xdr:colOff>
      <xdr:row>4</xdr:row>
      <xdr:rowOff>131396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E5BE0FA9-BBA9-4774-83D9-F60D3E87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1</xdr:row>
      <xdr:rowOff>123825</xdr:rowOff>
    </xdr:from>
    <xdr:to>
      <xdr:col>2</xdr:col>
      <xdr:colOff>1397625</xdr:colOff>
      <xdr:row>3</xdr:row>
      <xdr:rowOff>171450</xdr:rowOff>
    </xdr:to>
    <xdr:sp macro="[0]!Guardar_Datos.Guardar_Datos" textlink="">
      <xdr:nvSpPr>
        <xdr:cNvPr id="8" name="Rectángulo 7">
          <a:extLst>
            <a:ext uri="{FF2B5EF4-FFF2-40B4-BE49-F238E27FC236}">
              <a16:creationId xmlns:a16="http://schemas.microsoft.com/office/drawing/2014/main" id="{7408153D-4C0F-446F-B4D0-5E1D0F7E881F}"/>
            </a:ext>
          </a:extLst>
        </xdr:cNvPr>
        <xdr:cNvSpPr/>
      </xdr:nvSpPr>
      <xdr:spPr>
        <a:xfrm>
          <a:off x="3181350" y="285750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445123</xdr:colOff>
      <xdr:row>1</xdr:row>
      <xdr:rowOff>114300</xdr:rowOff>
    </xdr:from>
    <xdr:to>
      <xdr:col>4</xdr:col>
      <xdr:colOff>309223</xdr:colOff>
      <xdr:row>3</xdr:row>
      <xdr:rowOff>168450</xdr:rowOff>
    </xdr:to>
    <xdr:sp macro="[0]!Limpiar_datos.Limpiar_datos" textlink="">
      <xdr:nvSpPr>
        <xdr:cNvPr id="9" name="Rectángulo 8">
          <a:extLst>
            <a:ext uri="{FF2B5EF4-FFF2-40B4-BE49-F238E27FC236}">
              <a16:creationId xmlns:a16="http://schemas.microsoft.com/office/drawing/2014/main" id="{DC55B97D-A320-4CF5-926E-B3C801DA324D}"/>
            </a:ext>
          </a:extLst>
        </xdr:cNvPr>
        <xdr:cNvSpPr/>
      </xdr:nvSpPr>
      <xdr:spPr>
        <a:xfrm>
          <a:off x="6588748" y="276225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1762123</xdr:colOff>
      <xdr:row>1</xdr:row>
      <xdr:rowOff>114301</xdr:rowOff>
    </xdr:from>
    <xdr:to>
      <xdr:col>3</xdr:col>
      <xdr:colOff>102223</xdr:colOff>
      <xdr:row>3</xdr:row>
      <xdr:rowOff>168451</xdr:rowOff>
    </xdr:to>
    <xdr:sp macro="[0]!Imprimir_Detalle" textlink="">
      <xdr:nvSpPr>
        <xdr:cNvPr id="10" name="Rectángulo 9">
          <a:extLst>
            <a:ext uri="{FF2B5EF4-FFF2-40B4-BE49-F238E27FC236}">
              <a16:creationId xmlns:a16="http://schemas.microsoft.com/office/drawing/2014/main" id="{08751C5B-4B0D-4B6B-9C12-9B8AB8727EA4}"/>
            </a:ext>
          </a:extLst>
        </xdr:cNvPr>
        <xdr:cNvSpPr/>
      </xdr:nvSpPr>
      <xdr:spPr>
        <a:xfrm>
          <a:off x="4895848" y="276226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30A8B95-AE9D-446E-9B3C-DE976DB2F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15424" y="0"/>
          <a:ext cx="3371851" cy="876300"/>
        </a:xfrm>
        <a:prstGeom prst="rect">
          <a:avLst/>
        </a:prstGeom>
      </xdr:spPr>
    </xdr:pic>
    <xdr:clientData/>
  </xdr:twoCellAnchor>
  <xdr:twoCellAnchor>
    <xdr:from>
      <xdr:col>2</xdr:col>
      <xdr:colOff>374027</xdr:colOff>
      <xdr:row>1</xdr:row>
      <xdr:rowOff>104774</xdr:rowOff>
    </xdr:from>
    <xdr:to>
      <xdr:col>2</xdr:col>
      <xdr:colOff>1724027</xdr:colOff>
      <xdr:row>3</xdr:row>
      <xdr:rowOff>152399</xdr:rowOff>
    </xdr:to>
    <xdr:sp macro="[0]!Guardar_Datos.Guardar_Datos" textlink="">
      <xdr:nvSpPr>
        <xdr:cNvPr id="3" name="Rectángulo 2">
          <a:extLst>
            <a:ext uri="{FF2B5EF4-FFF2-40B4-BE49-F238E27FC236}">
              <a16:creationId xmlns:a16="http://schemas.microsoft.com/office/drawing/2014/main" id="{71613090-2112-4339-8908-B6461FBB1B54}"/>
            </a:ext>
          </a:extLst>
        </xdr:cNvPr>
        <xdr:cNvSpPr/>
      </xdr:nvSpPr>
      <xdr:spPr>
        <a:xfrm>
          <a:off x="3117227" y="266699"/>
          <a:ext cx="1350000" cy="37147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771525</xdr:colOff>
      <xdr:row>1</xdr:row>
      <xdr:rowOff>95249</xdr:rowOff>
    </xdr:from>
    <xdr:to>
      <xdr:col>4</xdr:col>
      <xdr:colOff>321300</xdr:colOff>
      <xdr:row>3</xdr:row>
      <xdr:rowOff>149399</xdr:rowOff>
    </xdr:to>
    <xdr:sp macro="[0]!Limpiar_datos.Limpiar_datos" textlink="">
      <xdr:nvSpPr>
        <xdr:cNvPr id="4" name="Rectángulo 3">
          <a:extLst>
            <a:ext uri="{FF2B5EF4-FFF2-40B4-BE49-F238E27FC236}">
              <a16:creationId xmlns:a16="http://schemas.microsoft.com/office/drawing/2014/main" id="{05C8E684-1D1D-4667-BF4C-77C295E728A6}"/>
            </a:ext>
          </a:extLst>
        </xdr:cNvPr>
        <xdr:cNvSpPr/>
      </xdr:nvSpPr>
      <xdr:spPr>
        <a:xfrm>
          <a:off x="6524625" y="257174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ADEB678-8841-4B0C-AFFB-16F40E4DF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2088525</xdr:colOff>
      <xdr:row>1</xdr:row>
      <xdr:rowOff>95250</xdr:rowOff>
    </xdr:from>
    <xdr:to>
      <xdr:col>3</xdr:col>
      <xdr:colOff>428625</xdr:colOff>
      <xdr:row>3</xdr:row>
      <xdr:rowOff>149400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887E4232-3CEA-4D3B-B212-612A62E1DFAD}"/>
            </a:ext>
          </a:extLst>
        </xdr:cNvPr>
        <xdr:cNvSpPr/>
      </xdr:nvSpPr>
      <xdr:spPr>
        <a:xfrm>
          <a:off x="4831725" y="257175"/>
          <a:ext cx="1350000" cy="3780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232601D-FB0B-4883-8104-8A8365F23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E3BF192-78B4-4AE7-84B9-E4519E255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4DB8EC79-3602-4E13-8CCD-C784855F9A1E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1E8F441F-9774-40DC-99EA-1616F1EF8A2A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A864B85A-018A-4869-8272-0EE884C850FA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371474</xdr:colOff>
      <xdr:row>0</xdr:row>
      <xdr:rowOff>0</xdr:rowOff>
    </xdr:from>
    <xdr:to>
      <xdr:col>8</xdr:col>
      <xdr:colOff>0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6B065E-4180-480E-80A7-9AEDDABFB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399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381000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B62AC5F-741C-45D7-8D72-B86B1619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323850</xdr:colOff>
      <xdr:row>1</xdr:row>
      <xdr:rowOff>142875</xdr:rowOff>
    </xdr:from>
    <xdr:to>
      <xdr:col>2</xdr:col>
      <xdr:colOff>1674209</xdr:colOff>
      <xdr:row>3</xdr:row>
      <xdr:rowOff>190141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18DEDF5D-7CAA-479D-8433-2F0A4FCC2B70}"/>
            </a:ext>
          </a:extLst>
        </xdr:cNvPr>
        <xdr:cNvSpPr/>
      </xdr:nvSpPr>
      <xdr:spPr>
        <a:xfrm>
          <a:off x="3829050" y="30480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725841</xdr:colOff>
      <xdr:row>1</xdr:row>
      <xdr:rowOff>133350</xdr:rowOff>
    </xdr:from>
    <xdr:to>
      <xdr:col>4</xdr:col>
      <xdr:colOff>586706</xdr:colOff>
      <xdr:row>3</xdr:row>
      <xdr:rowOff>187141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1D484F3E-8266-40BA-A924-A92D6040898B}"/>
            </a:ext>
          </a:extLst>
        </xdr:cNvPr>
        <xdr:cNvSpPr/>
      </xdr:nvSpPr>
      <xdr:spPr>
        <a:xfrm>
          <a:off x="7240941" y="29527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2038707</xdr:colOff>
      <xdr:row>1</xdr:row>
      <xdr:rowOff>133351</xdr:rowOff>
    </xdr:from>
    <xdr:to>
      <xdr:col>3</xdr:col>
      <xdr:colOff>382941</xdr:colOff>
      <xdr:row>3</xdr:row>
      <xdr:rowOff>187142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4407FB21-B1D8-451C-8DB9-B8286BEBF6AD}"/>
            </a:ext>
          </a:extLst>
        </xdr:cNvPr>
        <xdr:cNvSpPr/>
      </xdr:nvSpPr>
      <xdr:spPr>
        <a:xfrm>
          <a:off x="5543907" y="29527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581024</xdr:colOff>
      <xdr:row>0</xdr:row>
      <xdr:rowOff>0</xdr:rowOff>
    </xdr:from>
    <xdr:to>
      <xdr:col>8</xdr:col>
      <xdr:colOff>866775</xdr:colOff>
      <xdr:row>4</xdr:row>
      <xdr:rowOff>180975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9B0B757-DFE6-4FD8-9DBB-9E3E0F49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2049" y="0"/>
          <a:ext cx="3371851" cy="876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28575</xdr:rowOff>
    </xdr:from>
    <xdr:to>
      <xdr:col>1</xdr:col>
      <xdr:colOff>952500</xdr:colOff>
      <xdr:row>4</xdr:row>
      <xdr:rowOff>131396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9117BF-C9E6-4CC5-914B-F4824C951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8575"/>
          <a:ext cx="2171700" cy="798146"/>
        </a:xfrm>
        <a:prstGeom prst="rect">
          <a:avLst/>
        </a:prstGeom>
      </xdr:spPr>
    </xdr:pic>
    <xdr:clientData/>
  </xdr:twoCellAnchor>
  <xdr:twoCellAnchor>
    <xdr:from>
      <xdr:col>2</xdr:col>
      <xdr:colOff>885825</xdr:colOff>
      <xdr:row>2</xdr:row>
      <xdr:rowOff>0</xdr:rowOff>
    </xdr:from>
    <xdr:to>
      <xdr:col>2</xdr:col>
      <xdr:colOff>2236184</xdr:colOff>
      <xdr:row>3</xdr:row>
      <xdr:rowOff>209191</xdr:rowOff>
    </xdr:to>
    <xdr:sp macro="[0]!Guardar_Datos.Guardar_Datos" textlink="">
      <xdr:nvSpPr>
        <xdr:cNvPr id="4" name="Rectángulo 3">
          <a:extLst>
            <a:ext uri="{FF2B5EF4-FFF2-40B4-BE49-F238E27FC236}">
              <a16:creationId xmlns:a16="http://schemas.microsoft.com/office/drawing/2014/main" id="{B8109304-A32E-40FB-A4D2-9FD671F494C1}"/>
            </a:ext>
          </a:extLst>
        </xdr:cNvPr>
        <xdr:cNvSpPr/>
      </xdr:nvSpPr>
      <xdr:spPr>
        <a:xfrm>
          <a:off x="3819525" y="323850"/>
          <a:ext cx="1350359" cy="37111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/>
            <a:t>GUARDAR</a:t>
          </a:r>
          <a:r>
            <a:rPr lang="es-AR" sz="1100" b="1"/>
            <a:t> </a:t>
          </a:r>
        </a:p>
      </xdr:txBody>
    </xdr:sp>
    <xdr:clientData fPrintsWithSheet="0"/>
  </xdr:twoCellAnchor>
  <xdr:twoCellAnchor>
    <xdr:from>
      <xdr:col>3</xdr:col>
      <xdr:colOff>1287816</xdr:colOff>
      <xdr:row>1</xdr:row>
      <xdr:rowOff>152400</xdr:rowOff>
    </xdr:from>
    <xdr:to>
      <xdr:col>5</xdr:col>
      <xdr:colOff>377156</xdr:colOff>
      <xdr:row>3</xdr:row>
      <xdr:rowOff>206191</xdr:rowOff>
    </xdr:to>
    <xdr:sp macro="[0]!Limpiar_datos.Limpiar_datos" textlink="">
      <xdr:nvSpPr>
        <xdr:cNvPr id="5" name="Rectángulo 4">
          <a:extLst>
            <a:ext uri="{FF2B5EF4-FFF2-40B4-BE49-F238E27FC236}">
              <a16:creationId xmlns:a16="http://schemas.microsoft.com/office/drawing/2014/main" id="{88C30A81-8C52-4E99-AB9F-94E388D6DA43}"/>
            </a:ext>
          </a:extLst>
        </xdr:cNvPr>
        <xdr:cNvSpPr/>
      </xdr:nvSpPr>
      <xdr:spPr>
        <a:xfrm>
          <a:off x="7231416" y="314325"/>
          <a:ext cx="1346765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LIMPIAR</a:t>
          </a:r>
          <a:r>
            <a:rPr lang="es-AR" sz="1100"/>
            <a:t> </a:t>
          </a:r>
        </a:p>
      </xdr:txBody>
    </xdr:sp>
    <xdr:clientData fPrintsWithSheet="0"/>
  </xdr:twoCellAnchor>
  <xdr:twoCellAnchor>
    <xdr:from>
      <xdr:col>2</xdr:col>
      <xdr:colOff>2600682</xdr:colOff>
      <xdr:row>1</xdr:row>
      <xdr:rowOff>152401</xdr:rowOff>
    </xdr:from>
    <xdr:to>
      <xdr:col>3</xdr:col>
      <xdr:colOff>944916</xdr:colOff>
      <xdr:row>3</xdr:row>
      <xdr:rowOff>206192</xdr:rowOff>
    </xdr:to>
    <xdr:sp macro="[0]!Imprimir_Detalle" textlink="">
      <xdr:nvSpPr>
        <xdr:cNvPr id="6" name="Rectángulo 5">
          <a:extLst>
            <a:ext uri="{FF2B5EF4-FFF2-40B4-BE49-F238E27FC236}">
              <a16:creationId xmlns:a16="http://schemas.microsoft.com/office/drawing/2014/main" id="{073087CF-5648-4FBC-AC6F-1DABDCC7255D}"/>
            </a:ext>
          </a:extLst>
        </xdr:cNvPr>
        <xdr:cNvSpPr/>
      </xdr:nvSpPr>
      <xdr:spPr>
        <a:xfrm>
          <a:off x="5534382" y="314326"/>
          <a:ext cx="1354134" cy="37764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Imprimir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2252541</xdr:colOff>
      <xdr:row>6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9AF9C02-F2EE-4869-BECB-0AF2F3A5B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52541" cy="987136"/>
        </a:xfrm>
        <a:prstGeom prst="rect">
          <a:avLst/>
        </a:prstGeom>
      </xdr:spPr>
    </xdr:pic>
    <xdr:clientData/>
  </xdr:twoCellAnchor>
  <xdr:twoCellAnchor editAs="oneCell">
    <xdr:from>
      <xdr:col>8</xdr:col>
      <xdr:colOff>25596</xdr:colOff>
      <xdr:row>0</xdr:row>
      <xdr:rowOff>43296</xdr:rowOff>
    </xdr:from>
    <xdr:to>
      <xdr:col>11</xdr:col>
      <xdr:colOff>103911</xdr:colOff>
      <xdr:row>6</xdr:row>
      <xdr:rowOff>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F527342-571F-4E55-8739-E9C3ECDD7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0437" y="43296"/>
          <a:ext cx="2364315" cy="943841"/>
        </a:xfrm>
        <a:prstGeom prst="rect">
          <a:avLst/>
        </a:prstGeom>
      </xdr:spPr>
    </xdr:pic>
    <xdr:clientData/>
  </xdr:twoCellAnchor>
  <xdr:twoCellAnchor>
    <xdr:from>
      <xdr:col>2</xdr:col>
      <xdr:colOff>632114</xdr:colOff>
      <xdr:row>6</xdr:row>
      <xdr:rowOff>155865</xdr:rowOff>
    </xdr:from>
    <xdr:to>
      <xdr:col>10</xdr:col>
      <xdr:colOff>510885</xdr:colOff>
      <xdr:row>24</xdr:row>
      <xdr:rowOff>25978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EFA6B1-E57F-48F5-802A-2A4E2B5C7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856129</xdr:colOff>
      <xdr:row>0</xdr:row>
      <xdr:rowOff>62194</xdr:rowOff>
    </xdr:from>
    <xdr:to>
      <xdr:col>16</xdr:col>
      <xdr:colOff>1439050</xdr:colOff>
      <xdr:row>0</xdr:row>
      <xdr:rowOff>771526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A4CE6AF-5F27-4512-A7FC-09B1D1026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77404" y="62194"/>
          <a:ext cx="5583547" cy="709332"/>
        </a:xfrm>
        <a:prstGeom prst="rect">
          <a:avLst/>
        </a:prstGeom>
      </xdr:spPr>
    </xdr:pic>
    <xdr:clientData/>
  </xdr:twoCellAnchor>
  <xdr:twoCellAnchor editAs="oneCell">
    <xdr:from>
      <xdr:col>0</xdr:col>
      <xdr:colOff>1154766</xdr:colOff>
      <xdr:row>0</xdr:row>
      <xdr:rowOff>134470</xdr:rowOff>
    </xdr:from>
    <xdr:to>
      <xdr:col>2</xdr:col>
      <xdr:colOff>528460</xdr:colOff>
      <xdr:row>0</xdr:row>
      <xdr:rowOff>750794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009D1F3-891C-4BF2-B082-5C62C91B2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766" y="134470"/>
          <a:ext cx="2219988" cy="616324"/>
        </a:xfrm>
        <a:prstGeom prst="rect">
          <a:avLst/>
        </a:prstGeom>
      </xdr:spPr>
    </xdr:pic>
    <xdr:clientData/>
  </xdr:twoCellAnchor>
  <xdr:twoCellAnchor>
    <xdr:from>
      <xdr:col>3</xdr:col>
      <xdr:colOff>638175</xdr:colOff>
      <xdr:row>0</xdr:row>
      <xdr:rowOff>238125</xdr:rowOff>
    </xdr:from>
    <xdr:to>
      <xdr:col>4</xdr:col>
      <xdr:colOff>419100</xdr:colOff>
      <xdr:row>0</xdr:row>
      <xdr:rowOff>638175</xdr:rowOff>
    </xdr:to>
    <xdr:sp macro="[0]!Enviar_Expresos.Enviar_Expresos" textlink="">
      <xdr:nvSpPr>
        <xdr:cNvPr id="5" name="Rectángulo 4">
          <a:extLst>
            <a:ext uri="{FF2B5EF4-FFF2-40B4-BE49-F238E27FC236}">
              <a16:creationId xmlns:a16="http://schemas.microsoft.com/office/drawing/2014/main" id="{F5EA189C-8DAB-4B06-8E80-60B8C2666547}"/>
            </a:ext>
          </a:extLst>
        </xdr:cNvPr>
        <xdr:cNvSpPr/>
      </xdr:nvSpPr>
      <xdr:spPr>
        <a:xfrm>
          <a:off x="4543425" y="238125"/>
          <a:ext cx="1638300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ACTUALIZAR</a:t>
          </a:r>
        </a:p>
      </xdr:txBody>
    </xdr:sp>
    <xdr:clientData fPrintsWithSheet="0"/>
  </xdr:twoCellAnchor>
  <xdr:twoCellAnchor>
    <xdr:from>
      <xdr:col>17</xdr:col>
      <xdr:colOff>879117</xdr:colOff>
      <xdr:row>0</xdr:row>
      <xdr:rowOff>226919</xdr:rowOff>
    </xdr:from>
    <xdr:to>
      <xdr:col>18</xdr:col>
      <xdr:colOff>850541</xdr:colOff>
      <xdr:row>0</xdr:row>
      <xdr:rowOff>626969</xdr:rowOff>
    </xdr:to>
    <xdr:sp macro="[0]!valorizar" textlink="">
      <xdr:nvSpPr>
        <xdr:cNvPr id="6" name="Rectángulo 5">
          <a:extLst>
            <a:ext uri="{FF2B5EF4-FFF2-40B4-BE49-F238E27FC236}">
              <a16:creationId xmlns:a16="http://schemas.microsoft.com/office/drawing/2014/main" id="{B5BEC7C4-12DF-4B1A-860C-EC3300491EB2}"/>
            </a:ext>
          </a:extLst>
        </xdr:cNvPr>
        <xdr:cNvSpPr/>
      </xdr:nvSpPr>
      <xdr:spPr>
        <a:xfrm>
          <a:off x="28187852" y="226919"/>
          <a:ext cx="1641101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CALCULAR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437701</xdr:colOff>
      <xdr:row>0</xdr:row>
      <xdr:rowOff>114300</xdr:rowOff>
    </xdr:from>
    <xdr:to>
      <xdr:col>12</xdr:col>
      <xdr:colOff>860879</xdr:colOff>
      <xdr:row>0</xdr:row>
      <xdr:rowOff>933450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2254A90-02DA-4B5E-9A9E-046AB113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6626" y="114300"/>
          <a:ext cx="4707696" cy="81915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0</xdr:row>
      <xdr:rowOff>114300</xdr:rowOff>
    </xdr:from>
    <xdr:to>
      <xdr:col>2</xdr:col>
      <xdr:colOff>923925</xdr:colOff>
      <xdr:row>0</xdr:row>
      <xdr:rowOff>952500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44AD55-99E5-4E65-B9AA-1B2B50341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14300"/>
          <a:ext cx="3419475" cy="838200"/>
        </a:xfrm>
        <a:prstGeom prst="rect">
          <a:avLst/>
        </a:prstGeom>
      </xdr:spPr>
    </xdr:pic>
    <xdr:clientData/>
  </xdr:twoCellAnchor>
  <xdr:twoCellAnchor>
    <xdr:from>
      <xdr:col>3</xdr:col>
      <xdr:colOff>981075</xdr:colOff>
      <xdr:row>0</xdr:row>
      <xdr:rowOff>295275</xdr:rowOff>
    </xdr:from>
    <xdr:to>
      <xdr:col>4</xdr:col>
      <xdr:colOff>764801</xdr:colOff>
      <xdr:row>0</xdr:row>
      <xdr:rowOff>695325</xdr:rowOff>
    </xdr:to>
    <xdr:sp macro="[0]!Sacar_Rentabilidad.sacar_rentabilidad" textlink="">
      <xdr:nvSpPr>
        <xdr:cNvPr id="4" name="Rectángulo 3">
          <a:extLst>
            <a:ext uri="{FF2B5EF4-FFF2-40B4-BE49-F238E27FC236}">
              <a16:creationId xmlns:a16="http://schemas.microsoft.com/office/drawing/2014/main" id="{4E117ECD-101D-492B-BE25-D4EC32A8FD7E}"/>
            </a:ext>
          </a:extLst>
        </xdr:cNvPr>
        <xdr:cNvSpPr/>
      </xdr:nvSpPr>
      <xdr:spPr>
        <a:xfrm>
          <a:off x="4743450" y="295275"/>
          <a:ext cx="1641101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latin typeface="Verdana" panose="020B0604030504040204" pitchFamily="34" charset="0"/>
              <a:ea typeface="Verdana" panose="020B0604030504040204" pitchFamily="34" charset="0"/>
            </a:rPr>
            <a:t>ACTUALIZAR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HC1001\Archivos\COMPARTIDO%20FVACCARO\MICRO%20CONTROL\2018\MICRO%20AGOSTO%202018\HR%20MICRO%20AGOSTO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"/>
      <sheetName val="30"/>
      <sheetName val="29"/>
      <sheetName val="28"/>
      <sheetName val="27"/>
      <sheetName val="26"/>
      <sheetName val="25"/>
      <sheetName val="24"/>
      <sheetName val="23"/>
      <sheetName val="22"/>
      <sheetName val="21"/>
      <sheetName val="20"/>
      <sheetName val="19"/>
      <sheetName val="18"/>
      <sheetName val="17"/>
      <sheetName val="16"/>
      <sheetName val="15"/>
      <sheetName val="14"/>
      <sheetName val="13"/>
      <sheetName val="12"/>
      <sheetName val="11"/>
      <sheetName val="10"/>
      <sheetName val="9"/>
      <sheetName val="8"/>
      <sheetName val="7"/>
      <sheetName val="6"/>
      <sheetName val="5"/>
      <sheetName val="4"/>
      <sheetName val="3"/>
      <sheetName val="2"/>
      <sheetName val="1"/>
      <sheetName val="RESUMEN"/>
      <sheetName val="RESUMEN (2)"/>
      <sheetName val="CLIENTES-Destinos"/>
      <sheetName val="Transportes-Expr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2">
          <cell r="W2" t="str">
            <v>OK</v>
          </cell>
        </row>
      </sheetData>
      <sheetData sheetId="31"/>
      <sheetData sheetId="32"/>
      <sheetData sheetId="33"/>
      <sheetData sheetId="3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5968AC-7F41-41EB-A78B-875C8F5A3209}" name="TABLAA" displayName="TABLAA" ref="A8:B23" totalsRowShown="0" headerRowDxfId="117" headerRowBorderDxfId="116" tableBorderDxfId="115" totalsRowBorderDxfId="114">
  <autoFilter ref="A8:B23" xr:uid="{13E98EE9-7C64-4F4A-88F3-A819BDA8F213}"/>
  <sortState xmlns:xlrd2="http://schemas.microsoft.com/office/spreadsheetml/2017/richdata2" ref="A9:B22">
    <sortCondition ref="B8:B23"/>
  </sortState>
  <tableColumns count="2">
    <tableColumn id="1" xr3:uid="{0DAB1F3A-14E6-4ADA-81DF-D51E1B828BFB}" name="INDICE " dataDxfId="113" dataCellStyle="Hipervínculo"/>
    <tableColumn id="2" xr3:uid="{17076FAE-EB03-45D4-9CD5-32E2B7B0D150}" name="TOTAL"/>
  </tableColumns>
  <tableStyleInfo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0A9EF-3732-4553-87AF-DEA43C6F74DA}" name="LISTA" displayName="LISTA" ref="A2:T965" totalsRowCount="1" headerRowDxfId="112" dataDxfId="110" headerRowBorderDxfId="111" tableBorderDxfId="109" dataCellStyle="Moneda">
  <autoFilter ref="A2:T964" xr:uid="{7400A9EF-3732-4553-87AF-DEA43C6F74DA}"/>
  <sortState xmlns:xlrd2="http://schemas.microsoft.com/office/spreadsheetml/2017/richdata2" ref="A43:T484">
    <sortCondition ref="D2:D964"/>
  </sortState>
  <tableColumns count="20">
    <tableColumn id="10" xr3:uid="{B2278541-0E4C-4DFA-843E-204574436BC5}" name="TIPO DE VIAJE" dataDxfId="108" totalsRowDxfId="107" dataCellStyle="Moneda"/>
    <tableColumn id="1" xr3:uid="{88D65926-2852-4856-926D-259A2FD5F005}" name="FECHA " dataDxfId="106" totalsRowDxfId="105"/>
    <tableColumn id="2" xr3:uid="{4B44D834-3DB3-42BA-95FE-0FF50C82E9E6}" name="CHOFER" dataDxfId="104" totalsRowDxfId="103"/>
    <tableColumn id="3" xr3:uid="{5E8C661F-DDDA-4D14-A342-A20836AD2FCD}" name="NRO DE REMITO" totalsRowFunction="count" dataDxfId="102" totalsRowDxfId="101"/>
    <tableColumn id="4" xr3:uid="{FCAC9B33-8A9D-41F2-920E-7A0E4D466161}" name="CLIENTE " dataDxfId="100" totalsRowDxfId="99"/>
    <tableColumn id="11" xr3:uid="{2A09177A-11B0-4443-A455-A7B5DA1B5FB0}" name="EXPRESO" dataDxfId="98" totalsRowDxfId="97"/>
    <tableColumn id="16" xr3:uid="{74CD82E2-7485-4840-A4D0-279571547A99}" name="SHC" dataDxfId="96" totalsRowDxfId="95"/>
    <tableColumn id="20" xr3:uid="{07CD0428-6BB7-4CA8-8417-CAAC78AA4836}" name="PROVINCIA" dataDxfId="94" totalsRowDxfId="93"/>
    <tableColumn id="5" xr3:uid="{2E74313A-58D1-4AE2-9405-D21805B466BC}" name="LOCALIDAD" dataDxfId="92" totalsRowDxfId="91"/>
    <tableColumn id="6" xr3:uid="{66317328-1E81-44F6-B370-39AF326A5013}" name="KILOS" dataDxfId="90" totalsRowDxfId="89"/>
    <tableColumn id="7" xr3:uid="{86B07476-FCB1-41A2-B927-05263260171E}" name="TARIFA " totalsRowFunction="sum" dataDxfId="88" totalsRowDxfId="87" dataCellStyle="Moneda"/>
    <tableColumn id="8" xr3:uid="{4330A2F0-C691-4F7F-8A97-22D86926A419}" name="TARIFA CABA" totalsRowFunction="sum" dataDxfId="86" totalsRowDxfId="85" dataCellStyle="Moneda"/>
    <tableColumn id="9" xr3:uid="{C862F41A-F606-4353-93F0-2B9C94DFD82A}" name="TARIFA INTERIOR" totalsRowFunction="sum" dataDxfId="84" totalsRowDxfId="83" dataCellStyle="Moneda"/>
    <tableColumn id="13" xr3:uid="{C01FC711-2EA2-4AB5-9E6D-C1FD9E68AE1D}" name="TARIFA DESCONSOLIDADO" totalsRowFunction="sum" dataDxfId="82" totalsRowDxfId="81" dataCellStyle="Moneda"/>
    <tableColumn id="12" xr3:uid="{55E89C45-B5CB-4957-A1C8-E32183022650}" name="VALOR FINAL" totalsRowFunction="sum" dataDxfId="80" totalsRowDxfId="79" dataCellStyle="Moneda"/>
    <tableColumn id="14" xr3:uid="{7133EC45-09C5-406C-97B1-052D925CA02C}" name="OBSERVACIONES" dataDxfId="78" totalsRowDxfId="77" dataCellStyle="Moneda"/>
    <tableColumn id="15" xr3:uid="{50FD6DB2-B0A5-4A63-867C-10C2BC4BA8C6}" name="ID VIAJE" dataDxfId="76" totalsRowDxfId="75" dataCellStyle="Moneda">
      <calculatedColumnFormula>IF(D2=" ","-",2)</calculatedColumnFormula>
    </tableColumn>
    <tableColumn id="17" xr3:uid="{ADCC4F44-5C5A-46CD-8968-B95735847370}" name="TARIFA IN" dataDxfId="74" totalsRowDxfId="73" dataCellStyle="Moneda"/>
    <tableColumn id="18" xr3:uid="{F23B93B7-2754-4F19-A6FF-CD7D33D83415}" name="TARIFA OUT " dataDxfId="72" totalsRowDxfId="71" dataCellStyle="Moneda"/>
    <tableColumn id="19" xr3:uid="{458D3090-D057-4986-84A5-AC6D11918042}" name="TOTAL" totalsRowFunction="sum" dataDxfId="70" totalsRowDxfId="69" dataCellStyle="Moneda">
      <calculatedColumnFormula>LISTA[[#This Row],[TARIFA OUT ]]+LISTA[[#This Row],[TARIFA IN]]+LISTA[[#This Row],[VALOR FINAL]]</calculatedColumnFormula>
    </tableColumn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0A238B-5ADE-49EC-BD2D-1026A3326E71}" name="Tabla3" displayName="Tabla3" ref="A2:N100" totalsRowCount="1" headerRowDxfId="66" dataDxfId="64" headerRowBorderDxfId="65">
  <autoFilter ref="A2:N99" xr:uid="{358468AA-91BE-4CB9-9F1E-C0F4A5970933}"/>
  <sortState xmlns:xlrd2="http://schemas.microsoft.com/office/spreadsheetml/2017/richdata2" ref="A3:N19">
    <sortCondition ref="C2:C43"/>
  </sortState>
  <tableColumns count="14">
    <tableColumn id="9" xr3:uid="{7E4E5D6C-42A7-4EBA-8396-7356261516F1}" name="ID VIAJE" dataDxfId="63" totalsRowDxfId="62"/>
    <tableColumn id="1" xr3:uid="{C733107C-5D16-4C75-A8F4-FF98CE7D9A15}" name="EXPRESO" dataDxfId="61" totalsRowDxfId="60"/>
    <tableColumn id="2" xr3:uid="{45BBF27E-D382-4C20-8023-FEEE1CE589A6}" name="FECHA" dataDxfId="59" totalsRowDxfId="58"/>
    <tableColumn id="3" xr3:uid="{36154004-4ED3-440C-BF31-A77C73941BDF}" name="REMITO" dataDxfId="57" totalsRowDxfId="56"/>
    <tableColumn id="4" xr3:uid="{1E92FE07-4E91-4D4B-8530-63B947A00C99}" name="CLIENTE" dataDxfId="55" totalsRowDxfId="54"/>
    <tableColumn id="5" xr3:uid="{5C7B11A1-5944-4603-A8F7-B0A14A5C412C}" name="DESTINO" dataDxfId="53" totalsRowDxfId="52"/>
    <tableColumn id="6" xr3:uid="{5BC01682-E8E1-43E3-9526-6C2B81271B0F}" name="KILOS TOTALES" dataDxfId="51" totalsRowDxfId="50"/>
    <tableColumn id="7" xr3:uid="{7A1B56F1-C09A-4090-8498-84FE06515440}" name="K VOLUMETRICO" dataDxfId="49" totalsRowDxfId="48"/>
    <tableColumn id="8" xr3:uid="{3B69C430-AB7D-47FD-BDE5-6A8A22F921AC}" name="PALLETS" dataDxfId="47" totalsRowDxfId="46"/>
    <tableColumn id="10" xr3:uid="{AC5CFD8F-0287-4C00-BA8B-CAD2E04512E3}" name="TARIFA INT" dataDxfId="45" totalsRowDxfId="44" dataCellStyle="Moneda"/>
    <tableColumn id="14" xr3:uid="{4CC465E1-3AD6-4669-B534-66365933803F}" name="IMPORTE EXPRESO" dataDxfId="43" totalsRowDxfId="42" dataCellStyle="Moneda"/>
    <tableColumn id="11" xr3:uid="{DD8E16A3-5B09-4775-8542-F6B466922509}" name="ESTADO" dataDxfId="41" totalsRowDxfId="40"/>
    <tableColumn id="12" xr3:uid="{ABF12C89-58CA-474D-9E27-8003B2866281}" name="FECHA DE PAGO" dataDxfId="39" totalsRowDxfId="38"/>
    <tableColumn id="13" xr3:uid="{65A5FFA7-EE48-476E-96DA-787E13FD418B}" name="NUMERO DE COMPROBANTE" dataDxfId="37" totalsRowDxfId="3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454887-A2AA-4F7A-ADA2-C5A4E89AD6FE}" name="RENTABILIDAD" displayName="RENTABILIDAD" ref="A2:K501" totalsRowCount="1" headerRowDxfId="33" dataDxfId="31" headerRowBorderDxfId="32" tableBorderDxfId="30" totalsRowBorderDxfId="29">
  <autoFilter ref="A2:K500" xr:uid="{A93E1E6A-541A-4E2E-AFA0-E6C504896B83}">
    <filterColumn colId="0">
      <customFilters>
        <customFilter operator="notEqual" val=" "/>
      </customFilters>
    </filterColumn>
  </autoFilter>
  <sortState xmlns:xlrd2="http://schemas.microsoft.com/office/spreadsheetml/2017/richdata2" ref="A3:K500">
    <sortCondition ref="B2:B500"/>
  </sortState>
  <tableColumns count="11">
    <tableColumn id="1" xr3:uid="{28AEF92F-80AC-479D-8813-B4CF8811CE86}" name="ID VIAJE " dataDxfId="28" totalsRowDxfId="27"/>
    <tableColumn id="2" xr3:uid="{1FC004A5-2AC5-489F-9848-8D178B966404}" name="EXPRESO " dataDxfId="26" totalsRowDxfId="25"/>
    <tableColumn id="3" xr3:uid="{F13B4EC5-1F19-4645-A025-EA787C57B569}" name="REMITO" dataDxfId="24" totalsRowDxfId="23"/>
    <tableColumn id="4" xr3:uid="{8889FBF7-1FE2-4F49-AA26-4EA9E4585B36}" name="CLIENTE" dataDxfId="22" totalsRowDxfId="21"/>
    <tableColumn id="5" xr3:uid="{92F666BF-127E-46D0-B922-21185DC6B7B9}" name="DESTINO " dataDxfId="20" totalsRowDxfId="19"/>
    <tableColumn id="6" xr3:uid="{18761636-4788-4DC8-9628-16909BDA434F}" name="KILOS" dataDxfId="18" totalsRowDxfId="17"/>
    <tableColumn id="7" xr3:uid="{3264AFC8-9CE5-41EA-AA4D-ACF3DD35D484}" name="K V3" dataDxfId="16" totalsRowDxfId="15"/>
    <tableColumn id="8" xr3:uid="{02C763A2-187C-477C-B3B8-A34CCB7CA98E}" name="PALLETS" dataDxfId="14" totalsRowDxfId="13"/>
    <tableColumn id="9" xr3:uid="{F3381CAB-FD99-4E5F-B667-2134B3BFBE0C}" name="IMPORTE FACTURADO INT" totalsRowFunction="sum" dataDxfId="12" totalsRowDxfId="11" dataCellStyle="Moneda"/>
    <tableColumn id="10" xr3:uid="{5239CEDB-DD5D-4224-960F-6ED62A15BCDE}" name="IMPORTE EXPRESOS" totalsRowFunction="sum" dataDxfId="10" totalsRowDxfId="9" dataCellStyle="Moneda">
      <calculatedColumnFormula>INDEX(Tabla3[IMPORTE EXPRESO],MATCH(RENTABILIDAD[[#This Row],[ID VIAJE ]],Tabla3[ID VIAJE],0))</calculatedColumnFormula>
    </tableColumn>
    <tableColumn id="11" xr3:uid="{881AA1B9-1B37-4420-9DB9-094EF724D1EE}" name="MARGEN DE RENTABILIDAD" totalsRowFunction="sum" dataDxfId="8" totalsRowDxfId="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641BEF-07A0-46E7-A072-2F79B765EDBB}" name="EXPRESOS" displayName="EXPRESOS" ref="A1:C48" totalsRowShown="0" headerRowDxfId="6" dataDxfId="5" tableBorderDxfId="4">
  <autoFilter ref="A1:C48" xr:uid="{C9238A8A-F1AE-446A-8EE9-D1B088841DFA}"/>
  <sortState xmlns:xlrd2="http://schemas.microsoft.com/office/spreadsheetml/2017/richdata2" ref="A2:C48">
    <sortCondition ref="A1:A48"/>
  </sortState>
  <tableColumns count="3">
    <tableColumn id="1" xr3:uid="{A68993FD-BD13-48AE-A1CA-27142956AF22}" name="RAZON SOCIAL" dataDxfId="3"/>
    <tableColumn id="2" xr3:uid="{8AC50F14-8338-45FA-90B6-6DFE852BD3F6}" name="LOCALIDAD" dataDxfId="2"/>
    <tableColumn id="3" xr3:uid="{39E4CCEB-9405-4221-91E1-E9D98F891AE4}" name="IMPORTE" dataDxfId="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3ED1E6-B0FA-4D34-9377-403E22DDED40}" name="CHOFERES" displayName="CHOFERES" ref="A1:C30" totalsRowShown="0" headerRowDxfId="0">
  <autoFilter ref="A1:C30" xr:uid="{2CE8ECAB-AA60-48EE-A573-045AD6C8FEE4}"/>
  <sortState xmlns:xlrd2="http://schemas.microsoft.com/office/spreadsheetml/2017/richdata2" ref="A2:C30">
    <sortCondition ref="A1:A30"/>
  </sortState>
  <tableColumns count="3">
    <tableColumn id="1" xr3:uid="{99D9C5D1-5F7E-4E4C-B86F-6ECA69CD221F}" name="NOMBRE DE CHOFER"/>
    <tableColumn id="2" xr3:uid="{901FFBC0-88B3-45F4-AF9A-BF0BB34E1ED2}" name="TIPO "/>
    <tableColumn id="3" xr3:uid="{FA395288-DDF7-480E-BAD8-A2D2D1116E65}" name="FACTURACION ACUM," dataCellStyle="Moneda">
      <calculatedColumnFormula>SUMIF(LISTA[CHOFER],CHOFERES[[#This Row],[NOMBRE DE CHOFER]],LISTA[VALOR FINAL])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3E33D-6D49-46B2-BDD5-45D0776BFC90}">
  <sheetPr codeName="Hoja37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13"/>
      <c r="F5" s="213"/>
      <c r="G5" s="213"/>
      <c r="H5" s="1"/>
    </row>
    <row r="6" spans="1:10" s="25" customFormat="1" ht="28.5" customHeight="1" thickTop="1" thickBot="1" x14ac:dyDescent="0.25">
      <c r="A6" s="214" t="s">
        <v>17</v>
      </c>
      <c r="B6" s="215"/>
      <c r="C6" s="215"/>
      <c r="D6" s="215"/>
      <c r="E6" s="215"/>
      <c r="F6" s="215"/>
      <c r="G6" s="215"/>
      <c r="H6" s="216"/>
    </row>
    <row r="7" spans="1:10" s="25" customFormat="1" ht="17.25" thickTop="1" thickBot="1" x14ac:dyDescent="0.25">
      <c r="A7" s="61" t="s">
        <v>0</v>
      </c>
      <c r="B7" s="217">
        <v>44883</v>
      </c>
      <c r="C7" s="218"/>
      <c r="D7" s="218"/>
      <c r="E7" s="218"/>
      <c r="F7" s="218"/>
      <c r="G7" s="218"/>
      <c r="H7" s="219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4.25" thickTop="1" thickBot="1" x14ac:dyDescent="0.25">
      <c r="A9" s="5"/>
      <c r="B9" s="75"/>
      <c r="C9" s="21"/>
      <c r="D9" s="5"/>
      <c r="E9" s="29"/>
      <c r="F9" s="68"/>
      <c r="G9" s="30">
        <f>SUM(F9)</f>
        <v>0</v>
      </c>
      <c r="H9" s="30"/>
      <c r="I9" s="31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  <c r="I10" s="31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  <c r="I11" s="31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  <c r="I12" s="31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  <c r="I13" s="31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  <c r="I14" s="31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  <c r="I15" s="31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  <c r="I16" s="31"/>
    </row>
    <row r="17" spans="1:9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  <c r="I17" s="31"/>
    </row>
    <row r="18" spans="1:9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  <c r="I18" s="31"/>
    </row>
    <row r="19" spans="1:9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  <c r="I19" s="31"/>
    </row>
    <row r="20" spans="1:9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  <c r="I20" s="31"/>
    </row>
    <row r="21" spans="1:9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  <c r="I21" s="31"/>
    </row>
    <row r="22" spans="1:9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  <c r="I22" s="31"/>
    </row>
    <row r="23" spans="1:9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  <c r="I23" s="31"/>
    </row>
    <row r="24" spans="1:9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  <c r="I24" s="31"/>
    </row>
    <row r="25" spans="1:9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  <c r="I25" s="31"/>
    </row>
    <row r="26" spans="1:9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  <c r="I26" s="31"/>
    </row>
    <row r="27" spans="1:9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  <c r="I27" s="31"/>
    </row>
    <row r="28" spans="1:9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  <c r="I28" s="31"/>
    </row>
    <row r="29" spans="1:9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  <c r="I29" s="31"/>
    </row>
    <row r="30" spans="1:9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  <c r="I30" s="31"/>
    </row>
    <row r="31" spans="1:9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  <c r="I31" s="31"/>
    </row>
    <row r="32" spans="1:9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  <c r="I32" s="31"/>
    </row>
    <row r="33" spans="1:9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  <c r="I33" s="31"/>
    </row>
    <row r="34" spans="1:9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  <c r="I34" s="31"/>
    </row>
    <row r="35" spans="1:9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  <c r="I35" s="31"/>
    </row>
    <row r="36" spans="1:9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  <c r="I36" s="91"/>
    </row>
    <row r="37" spans="1:9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0">
        <f>SUM(G9:G35)</f>
        <v>0</v>
      </c>
      <c r="H37" s="221"/>
      <c r="I37" s="222"/>
    </row>
    <row r="38" spans="1:9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0">
        <f>0.21*G37</f>
        <v>0</v>
      </c>
      <c r="H38" s="221"/>
      <c r="I38" s="222"/>
    </row>
    <row r="39" spans="1:9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0">
        <f>SUM(G37:XFD38)</f>
        <v>0</v>
      </c>
      <c r="H39" s="221"/>
      <c r="I39" s="222"/>
    </row>
    <row r="40" spans="1:9" ht="13.5" hidden="1" thickTop="1" x14ac:dyDescent="0.2"/>
    <row r="41" spans="1:9" ht="13.5" hidden="1" thickTop="1" x14ac:dyDescent="0.2"/>
    <row r="42" spans="1:9" ht="13.5" hidden="1" thickTop="1" x14ac:dyDescent="0.2"/>
    <row r="43" spans="1:9" ht="13.5" hidden="1" thickTop="1" x14ac:dyDescent="0.2"/>
    <row r="44" spans="1:9" ht="13.5" hidden="1" thickTop="1" x14ac:dyDescent="0.2"/>
    <row r="45" spans="1:9" ht="13.5" hidden="1" thickTop="1" x14ac:dyDescent="0.2"/>
    <row r="46" spans="1:9" ht="13.5" hidden="1" thickTop="1" x14ac:dyDescent="0.2"/>
    <row r="47" spans="1:9" ht="13.5" hidden="1" thickTop="1" x14ac:dyDescent="0.2"/>
    <row r="48" spans="1:9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9:I39"/>
    <mergeCell ref="G37:I37"/>
    <mergeCell ref="G38:I38"/>
    <mergeCell ref="B36:H36"/>
    <mergeCell ref="B37:F37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90709C4B-8020-4EC4-9D85-A66D4FC83086}"/>
    <hyperlink ref="A6:H6" location="INDEX!A1" display="RETIRO DE DAPSA" xr:uid="{653A6355-E4F4-4C98-B81F-B35B6D27A877}"/>
  </hyperlinks>
  <pageMargins left="0.39370078740157483" right="0" top="0.51181102362204722" bottom="0.15748031496062992" header="0" footer="0"/>
  <pageSetup paperSize="9" scale="90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C79F4A-D0A6-432A-B35B-ED623FA49020}">
          <x14:formula1>
            <xm:f>BDCHOFERES!$A$2:$A$50</xm:f>
          </x14:formula1>
          <xm:sqref>A9:A35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64C5-9821-4A49-8A8F-7C4449AF0CBC}">
  <sheetPr codeName="Hoja36">
    <tabColor rgb="FFFFFF00"/>
    <pageSetUpPr fitToPage="1"/>
  </sheetPr>
  <dimension ref="A1:O100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13"/>
      <c r="F5" s="213"/>
      <c r="G5" s="213"/>
      <c r="H5" s="1"/>
    </row>
    <row r="6" spans="1:10" s="25" customFormat="1" ht="28.5" customHeight="1" thickTop="1" thickBot="1" x14ac:dyDescent="0.25">
      <c r="A6" s="214" t="s">
        <v>13</v>
      </c>
      <c r="B6" s="215"/>
      <c r="C6" s="215"/>
      <c r="D6" s="215"/>
      <c r="E6" s="215"/>
      <c r="F6" s="215"/>
      <c r="G6" s="215"/>
      <c r="H6" s="216"/>
    </row>
    <row r="7" spans="1:10" s="25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5"/>
      <c r="B9" s="75"/>
      <c r="C9" s="21"/>
      <c r="D9" s="5"/>
      <c r="E9" s="29"/>
      <c r="F9" s="68"/>
      <c r="G9" s="30">
        <f>SUM(F9)</f>
        <v>0</v>
      </c>
      <c r="H9" s="30"/>
      <c r="I9" s="31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  <c r="I10" s="31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  <c r="I11" s="31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  <c r="I12" s="31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  <c r="I13" s="31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  <c r="I14" s="31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  <c r="I15" s="31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  <c r="I16" s="31"/>
    </row>
    <row r="17" spans="1:9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  <c r="I17" s="31"/>
    </row>
    <row r="18" spans="1:9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  <c r="I18" s="31"/>
    </row>
    <row r="19" spans="1:9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  <c r="I19" s="31"/>
    </row>
    <row r="20" spans="1:9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  <c r="I20" s="31"/>
    </row>
    <row r="21" spans="1:9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  <c r="I21" s="31"/>
    </row>
    <row r="22" spans="1:9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  <c r="I22" s="31"/>
    </row>
    <row r="23" spans="1:9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  <c r="I23" s="31"/>
    </row>
    <row r="24" spans="1:9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  <c r="I24" s="31"/>
    </row>
    <row r="25" spans="1:9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  <c r="I25" s="31"/>
    </row>
    <row r="26" spans="1:9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  <c r="I26" s="31"/>
    </row>
    <row r="27" spans="1:9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  <c r="I27" s="31"/>
    </row>
    <row r="28" spans="1:9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  <c r="I28" s="31"/>
    </row>
    <row r="29" spans="1:9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  <c r="I29" s="31"/>
    </row>
    <row r="30" spans="1:9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  <c r="I30" s="31"/>
    </row>
    <row r="31" spans="1:9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  <c r="I31" s="31"/>
    </row>
    <row r="32" spans="1:9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  <c r="I32" s="31"/>
    </row>
    <row r="33" spans="1:9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  <c r="I33" s="31"/>
    </row>
    <row r="34" spans="1:9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  <c r="I34" s="31"/>
    </row>
    <row r="35" spans="1:9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  <c r="I35" s="31"/>
    </row>
    <row r="36" spans="1:9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  <c r="I36" s="91"/>
    </row>
    <row r="37" spans="1:9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SUM(G9:G35)</f>
        <v>0</v>
      </c>
      <c r="H37" s="227"/>
      <c r="I37" s="228"/>
    </row>
    <row r="38" spans="1:9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  <c r="I38" s="228"/>
    </row>
    <row r="39" spans="1:9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SUM(G37:XFD38)</f>
        <v>0</v>
      </c>
      <c r="H39" s="227"/>
      <c r="I39" s="228"/>
    </row>
    <row r="40" spans="1:9" ht="13.5" hidden="1" thickTop="1" x14ac:dyDescent="0.2"/>
    <row r="41" spans="1:9" ht="13.5" hidden="1" thickTop="1" x14ac:dyDescent="0.2"/>
    <row r="42" spans="1:9" ht="13.5" hidden="1" thickTop="1" x14ac:dyDescent="0.2"/>
    <row r="43" spans="1:9" ht="13.5" hidden="1" thickTop="1" x14ac:dyDescent="0.2"/>
    <row r="44" spans="1:9" ht="13.5" hidden="1" thickTop="1" x14ac:dyDescent="0.2"/>
    <row r="45" spans="1:9" ht="13.5" hidden="1" thickTop="1" x14ac:dyDescent="0.2"/>
    <row r="46" spans="1:9" ht="13.5" hidden="1" thickTop="1" x14ac:dyDescent="0.2"/>
    <row r="47" spans="1:9" ht="13.5" hidden="1" thickTop="1" x14ac:dyDescent="0.2"/>
    <row r="48" spans="1:9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customHeight="1" thickTop="1" x14ac:dyDescent="0.2"/>
    <row r="100" ht="12.75" customHeight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9:I39"/>
    <mergeCell ref="G37:I37"/>
    <mergeCell ref="G38:I38"/>
    <mergeCell ref="B36:H36"/>
    <mergeCell ref="B37:F37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395D8F06-8856-41E8-A193-92582310D303}"/>
    <hyperlink ref="A6:H6" location="INDEX!A1" display="RETIRO DE DAPSA" xr:uid="{E8D86AB8-A399-4E68-ADCA-C089CE945DE8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5F47BF-FD9B-405B-BD34-B5681F6529A1}">
          <x14:formula1>
            <xm:f>BDCHOFERES!$A$2:$A$50</xm:f>
          </x14:formula1>
          <xm:sqref>A9:A35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757E0-F373-44BB-88D1-690C3808E18C}">
  <sheetPr codeName="Hoja35">
    <tabColor rgb="FFFFFF00"/>
    <pageSetUpPr fitToPage="1"/>
  </sheetPr>
  <dimension ref="A1:O40"/>
  <sheetViews>
    <sheetView zoomScaleNormal="100" workbookViewId="0">
      <selection activeCell="G9" sqref="G9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13"/>
      <c r="F5" s="213"/>
      <c r="G5" s="213"/>
      <c r="H5" s="1"/>
    </row>
    <row r="6" spans="1:10" s="66" customFormat="1" ht="28.5" customHeight="1" thickTop="1" thickBot="1" x14ac:dyDescent="0.25">
      <c r="A6" s="214" t="s">
        <v>16</v>
      </c>
      <c r="B6" s="215"/>
      <c r="C6" s="215"/>
      <c r="D6" s="215"/>
      <c r="E6" s="215"/>
      <c r="F6" s="215"/>
      <c r="G6" s="215"/>
      <c r="H6" s="216"/>
    </row>
    <row r="7" spans="1:10" s="66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66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67"/>
    </row>
    <row r="9" spans="1:10" ht="15" customHeight="1" thickTop="1" thickBot="1" x14ac:dyDescent="0.25">
      <c r="A9" s="5"/>
      <c r="B9" s="196"/>
      <c r="C9" s="21"/>
      <c r="D9" s="5"/>
      <c r="E9" s="29"/>
      <c r="F9" s="68"/>
      <c r="G9" s="30">
        <f>SUM(F9)</f>
        <v>0</v>
      </c>
      <c r="H9" s="30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</row>
    <row r="17" spans="1:8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</row>
    <row r="18" spans="1:8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</row>
    <row r="19" spans="1:8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</row>
    <row r="20" spans="1:8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</row>
    <row r="21" spans="1:8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</row>
    <row r="22" spans="1:8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</row>
    <row r="23" spans="1:8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</row>
    <row r="24" spans="1:8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</row>
    <row r="25" spans="1:8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</row>
    <row r="26" spans="1:8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</row>
    <row r="27" spans="1:8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</row>
    <row r="28" spans="1:8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</row>
    <row r="29" spans="1:8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</row>
    <row r="30" spans="1:8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</row>
    <row r="31" spans="1:8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</row>
    <row r="32" spans="1:8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</row>
    <row r="33" spans="1:8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</row>
    <row r="34" spans="1:8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</row>
    <row r="35" spans="1:8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</row>
    <row r="36" spans="1:8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</row>
    <row r="37" spans="1:8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SUM(G13:G35)</f>
        <v>0</v>
      </c>
      <c r="H37" s="227"/>
    </row>
    <row r="38" spans="1:8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</row>
    <row r="39" spans="1:8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SUM(G37:H38)</f>
        <v>0</v>
      </c>
      <c r="H39" s="227"/>
    </row>
    <row r="40" spans="1:8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8:H38"/>
    <mergeCell ref="G37:H37"/>
    <mergeCell ref="G39:H39"/>
    <mergeCell ref="B37:F37"/>
    <mergeCell ref="B36:H36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AF6AD5C5-F619-4D5C-A417-18EFE708AAB2}"/>
    <hyperlink ref="A6:H6" location="INDEX!A1" display="RETIRO DE DAPSA" xr:uid="{09978F6D-3953-4163-AD1B-1C29A100BF23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FD760A-663D-4B70-B1E2-E3DDE2C2D575}">
          <x14:formula1>
            <xm:f>BDCHOFERES!$A$2:$A$50</xm:f>
          </x14:formula1>
          <xm:sqref>A9:A35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6CF8-0ABA-4339-9671-B57D1C978D1A}">
  <sheetPr codeName="Hoja34">
    <tabColor rgb="FF92D050"/>
    <pageSetUpPr fitToPage="1"/>
  </sheetPr>
  <dimension ref="A1:O39"/>
  <sheetViews>
    <sheetView topLeftCell="B1" zoomScaleNormal="100" workbookViewId="0">
      <selection activeCell="H17" sqref="H17"/>
    </sheetView>
  </sheetViews>
  <sheetFormatPr baseColWidth="10" defaultColWidth="0" defaultRowHeight="0" customHeight="1" zeroHeight="1" x14ac:dyDescent="0.2"/>
  <cols>
    <col min="1" max="2" width="18.85546875" style="24" customWidth="1"/>
    <col min="3" max="3" width="25.140625" style="24" customWidth="1"/>
    <col min="4" max="4" width="45.140625" style="24" customWidth="1"/>
    <col min="5" max="5" width="22.28515625" style="24" customWidth="1"/>
    <col min="6" max="6" width="11.5703125" style="24" customWidth="1"/>
    <col min="7" max="7" width="14.28515625" style="24" hidden="1" customWidth="1"/>
    <col min="8" max="9" width="16" style="24" customWidth="1"/>
    <col min="10" max="10" width="22.7109375" style="24" customWidth="1"/>
    <col min="11" max="11" width="11" style="24" hidden="1" customWidth="1"/>
    <col min="12" max="12" width="11.42578125" style="2" hidden="1" customWidth="1"/>
    <col min="13" max="13" width="11" style="2" hidden="1" customWidth="1"/>
    <col min="14" max="14" width="11.42578125" style="2" hidden="1" customWidth="1"/>
    <col min="15" max="15" width="11" style="2" hidden="1" customWidth="1"/>
    <col min="16" max="16384" width="11.42578125" style="2" hidden="1"/>
  </cols>
  <sheetData>
    <row r="1" spans="1:12" ht="12.75" x14ac:dyDescent="0.2">
      <c r="A1" s="3"/>
      <c r="B1" s="3"/>
      <c r="C1" s="3"/>
      <c r="D1" s="3"/>
      <c r="E1" s="3"/>
      <c r="F1" s="3"/>
      <c r="G1" s="3"/>
      <c r="H1" s="3"/>
      <c r="I1" s="3"/>
      <c r="J1" s="4"/>
    </row>
    <row r="2" spans="1:12" ht="12.75" x14ac:dyDescent="0.2">
      <c r="A2" s="2"/>
      <c r="B2" s="212"/>
      <c r="C2" s="212"/>
      <c r="D2" s="212"/>
      <c r="E2" s="22"/>
      <c r="F2" s="213"/>
      <c r="G2" s="213"/>
      <c r="H2" s="213"/>
      <c r="I2" s="213"/>
      <c r="J2" s="213"/>
    </row>
    <row r="3" spans="1:12" ht="12.75" x14ac:dyDescent="0.2">
      <c r="A3" s="2"/>
      <c r="B3" s="212"/>
      <c r="C3" s="212"/>
      <c r="D3" s="212"/>
      <c r="E3" s="22"/>
      <c r="F3" s="213"/>
      <c r="G3" s="213"/>
      <c r="H3" s="213"/>
      <c r="I3" s="213"/>
      <c r="J3" s="213"/>
    </row>
    <row r="4" spans="1:12" ht="16.5" x14ac:dyDescent="0.25">
      <c r="A4" s="2"/>
      <c r="B4" s="211"/>
      <c r="C4" s="212"/>
      <c r="D4" s="212"/>
      <c r="E4" s="22"/>
      <c r="F4" s="213"/>
      <c r="G4" s="213"/>
      <c r="H4" s="213"/>
      <c r="I4" s="213"/>
      <c r="J4" s="213"/>
    </row>
    <row r="5" spans="1:12" ht="17.25" thickBot="1" x14ac:dyDescent="0.3">
      <c r="A5" s="2"/>
      <c r="B5" s="211"/>
      <c r="C5" s="212"/>
      <c r="D5" s="212"/>
      <c r="E5" s="22"/>
      <c r="F5" s="213"/>
      <c r="G5" s="213"/>
      <c r="H5" s="213"/>
      <c r="I5" s="213"/>
      <c r="J5" s="213"/>
    </row>
    <row r="6" spans="1:12" s="25" customFormat="1" ht="28.5" customHeight="1" thickTop="1" thickBot="1" x14ac:dyDescent="0.25">
      <c r="A6" s="61"/>
      <c r="B6" s="214" t="s">
        <v>15</v>
      </c>
      <c r="C6" s="215"/>
      <c r="D6" s="215"/>
      <c r="E6" s="215"/>
      <c r="F6" s="215"/>
      <c r="G6" s="215"/>
      <c r="H6" s="215"/>
      <c r="I6" s="215"/>
      <c r="J6" s="216"/>
    </row>
    <row r="7" spans="1:12" s="25" customFormat="1" ht="17.25" thickTop="1" thickBot="1" x14ac:dyDescent="0.25">
      <c r="A7" s="61"/>
      <c r="B7" s="61" t="s">
        <v>0</v>
      </c>
      <c r="C7" s="217">
        <f ca="1">TODAY()-1</f>
        <v>44892</v>
      </c>
      <c r="D7" s="218"/>
      <c r="E7" s="218"/>
      <c r="F7" s="218"/>
      <c r="G7" s="218"/>
      <c r="H7" s="218"/>
      <c r="I7" s="218"/>
      <c r="J7" s="219"/>
    </row>
    <row r="8" spans="1:12" s="25" customFormat="1" ht="24" thickTop="1" thickBot="1" x14ac:dyDescent="0.25">
      <c r="A8" s="46" t="s">
        <v>54</v>
      </c>
      <c r="B8" s="46" t="s">
        <v>1</v>
      </c>
      <c r="C8" s="47" t="s">
        <v>20</v>
      </c>
      <c r="D8" s="48" t="s">
        <v>5</v>
      </c>
      <c r="E8" s="46" t="s">
        <v>6</v>
      </c>
      <c r="F8" s="49" t="s">
        <v>24</v>
      </c>
      <c r="G8" s="50" t="s">
        <v>27</v>
      </c>
      <c r="H8" s="49" t="s">
        <v>25</v>
      </c>
      <c r="I8" s="49" t="s">
        <v>26</v>
      </c>
      <c r="J8" s="52" t="s">
        <v>7</v>
      </c>
      <c r="L8" s="26"/>
    </row>
    <row r="9" spans="1:12" s="32" customFormat="1" ht="15" customHeight="1" thickTop="1" thickBot="1" x14ac:dyDescent="0.25">
      <c r="A9" s="189"/>
      <c r="B9" s="5"/>
      <c r="C9" s="75"/>
      <c r="D9" s="21"/>
      <c r="E9" s="5"/>
      <c r="F9" s="29"/>
      <c r="G9" s="163"/>
      <c r="H9" s="68"/>
      <c r="I9" s="68"/>
      <c r="J9" s="30">
        <f>SUM(H9+I9)</f>
        <v>0</v>
      </c>
      <c r="K9" s="31"/>
    </row>
    <row r="10" spans="1:12" s="32" customFormat="1" ht="15" customHeight="1" thickTop="1" thickBot="1" x14ac:dyDescent="0.25">
      <c r="A10" s="189"/>
      <c r="B10" s="5"/>
      <c r="C10" s="75"/>
      <c r="D10" s="21"/>
      <c r="E10" s="5"/>
      <c r="F10" s="29"/>
      <c r="G10" s="164"/>
      <c r="H10" s="68"/>
      <c r="I10" s="69"/>
      <c r="J10" s="30">
        <f t="shared" ref="J10:J35" si="0">SUM(H10+I10)</f>
        <v>0</v>
      </c>
      <c r="K10" s="31"/>
    </row>
    <row r="11" spans="1:12" s="32" customFormat="1" ht="15" customHeight="1" thickTop="1" thickBot="1" x14ac:dyDescent="0.25">
      <c r="A11" s="189"/>
      <c r="B11" s="5"/>
      <c r="C11" s="75"/>
      <c r="D11" s="21"/>
      <c r="E11" s="5"/>
      <c r="F11" s="29"/>
      <c r="G11" s="164"/>
      <c r="H11" s="68"/>
      <c r="I11" s="69"/>
      <c r="J11" s="30">
        <f t="shared" si="0"/>
        <v>0</v>
      </c>
      <c r="K11" s="31"/>
    </row>
    <row r="12" spans="1:12" s="32" customFormat="1" ht="15" customHeight="1" thickTop="1" thickBot="1" x14ac:dyDescent="0.25">
      <c r="A12" s="189"/>
      <c r="B12" s="5"/>
      <c r="C12" s="75"/>
      <c r="D12" s="21"/>
      <c r="E12" s="5"/>
      <c r="F12" s="29"/>
      <c r="G12" s="164"/>
      <c r="H12" s="68"/>
      <c r="I12" s="69"/>
      <c r="J12" s="30">
        <f t="shared" si="0"/>
        <v>0</v>
      </c>
      <c r="K12" s="31"/>
    </row>
    <row r="13" spans="1:12" s="32" customFormat="1" ht="15" customHeight="1" thickTop="1" thickBot="1" x14ac:dyDescent="0.25">
      <c r="A13" s="189"/>
      <c r="B13" s="5"/>
      <c r="C13" s="75"/>
      <c r="D13" s="21"/>
      <c r="E13" s="5"/>
      <c r="F13" s="29"/>
      <c r="G13" s="164"/>
      <c r="H13" s="68"/>
      <c r="I13" s="69"/>
      <c r="J13" s="30">
        <f t="shared" si="0"/>
        <v>0</v>
      </c>
      <c r="K13" s="31"/>
    </row>
    <row r="14" spans="1:12" s="32" customFormat="1" ht="15" customHeight="1" thickTop="1" thickBot="1" x14ac:dyDescent="0.25">
      <c r="A14" s="189"/>
      <c r="B14" s="5"/>
      <c r="C14" s="75"/>
      <c r="D14" s="21"/>
      <c r="E14" s="5"/>
      <c r="F14" s="29"/>
      <c r="G14" s="164"/>
      <c r="H14" s="68"/>
      <c r="I14" s="69"/>
      <c r="J14" s="30">
        <f t="shared" si="0"/>
        <v>0</v>
      </c>
      <c r="K14" s="31"/>
    </row>
    <row r="15" spans="1:12" s="32" customFormat="1" ht="15" customHeight="1" thickTop="1" thickBot="1" x14ac:dyDescent="0.25">
      <c r="A15" s="189"/>
      <c r="B15" s="5"/>
      <c r="C15" s="75"/>
      <c r="D15" s="21"/>
      <c r="E15" s="5"/>
      <c r="F15" s="29"/>
      <c r="G15" s="164"/>
      <c r="H15" s="68"/>
      <c r="I15" s="69"/>
      <c r="J15" s="30">
        <f t="shared" si="0"/>
        <v>0</v>
      </c>
      <c r="K15" s="31"/>
    </row>
    <row r="16" spans="1:12" s="32" customFormat="1" ht="15" customHeight="1" thickTop="1" thickBot="1" x14ac:dyDescent="0.25">
      <c r="A16" s="189"/>
      <c r="B16" s="5"/>
      <c r="C16" s="75"/>
      <c r="D16" s="21"/>
      <c r="E16" s="5"/>
      <c r="F16" s="29"/>
      <c r="G16" s="164"/>
      <c r="H16" s="68"/>
      <c r="I16" s="69"/>
      <c r="J16" s="30">
        <f t="shared" si="0"/>
        <v>0</v>
      </c>
      <c r="K16" s="31"/>
    </row>
    <row r="17" spans="1:11" s="32" customFormat="1" ht="15" customHeight="1" thickTop="1" thickBot="1" x14ac:dyDescent="0.25">
      <c r="A17" s="189"/>
      <c r="B17" s="5"/>
      <c r="C17" s="75"/>
      <c r="D17" s="21"/>
      <c r="E17" s="5"/>
      <c r="F17" s="29"/>
      <c r="G17" s="164"/>
      <c r="H17" s="68"/>
      <c r="I17" s="69"/>
      <c r="J17" s="30">
        <f t="shared" si="0"/>
        <v>0</v>
      </c>
      <c r="K17" s="31"/>
    </row>
    <row r="18" spans="1:11" s="32" customFormat="1" ht="15" customHeight="1" thickTop="1" thickBot="1" x14ac:dyDescent="0.25">
      <c r="A18" s="189"/>
      <c r="B18" s="5"/>
      <c r="C18" s="75"/>
      <c r="D18" s="21"/>
      <c r="E18" s="5"/>
      <c r="F18" s="29"/>
      <c r="G18" s="164"/>
      <c r="H18" s="68"/>
      <c r="I18" s="69"/>
      <c r="J18" s="30">
        <f t="shared" si="0"/>
        <v>0</v>
      </c>
      <c r="K18" s="31"/>
    </row>
    <row r="19" spans="1:11" s="32" customFormat="1" ht="15" customHeight="1" thickTop="1" thickBot="1" x14ac:dyDescent="0.25">
      <c r="A19" s="189"/>
      <c r="B19" s="5"/>
      <c r="C19" s="75"/>
      <c r="D19" s="21"/>
      <c r="E19" s="5"/>
      <c r="F19" s="29"/>
      <c r="G19" s="164"/>
      <c r="H19" s="68"/>
      <c r="I19" s="69"/>
      <c r="J19" s="30">
        <f t="shared" si="0"/>
        <v>0</v>
      </c>
      <c r="K19" s="31"/>
    </row>
    <row r="20" spans="1:11" s="32" customFormat="1" ht="15" customHeight="1" thickTop="1" thickBot="1" x14ac:dyDescent="0.25">
      <c r="A20" s="189"/>
      <c r="B20" s="5"/>
      <c r="C20" s="75"/>
      <c r="D20" s="21"/>
      <c r="E20" s="5"/>
      <c r="F20" s="29"/>
      <c r="G20" s="164"/>
      <c r="H20" s="68"/>
      <c r="I20" s="69"/>
      <c r="J20" s="30">
        <f t="shared" si="0"/>
        <v>0</v>
      </c>
      <c r="K20" s="31"/>
    </row>
    <row r="21" spans="1:11" s="32" customFormat="1" ht="15" customHeight="1" thickTop="1" thickBot="1" x14ac:dyDescent="0.25">
      <c r="A21" s="189"/>
      <c r="B21" s="5"/>
      <c r="C21" s="75"/>
      <c r="D21" s="21"/>
      <c r="E21" s="5"/>
      <c r="F21" s="29"/>
      <c r="G21" s="164"/>
      <c r="H21" s="68"/>
      <c r="I21" s="69"/>
      <c r="J21" s="30">
        <f t="shared" si="0"/>
        <v>0</v>
      </c>
      <c r="K21" s="31"/>
    </row>
    <row r="22" spans="1:11" s="32" customFormat="1" ht="15" customHeight="1" thickTop="1" thickBot="1" x14ac:dyDescent="0.25">
      <c r="A22" s="189"/>
      <c r="B22" s="5"/>
      <c r="C22" s="75"/>
      <c r="D22" s="21"/>
      <c r="E22" s="5"/>
      <c r="F22" s="29"/>
      <c r="G22" s="164"/>
      <c r="H22" s="68"/>
      <c r="I22" s="69"/>
      <c r="J22" s="30">
        <f t="shared" si="0"/>
        <v>0</v>
      </c>
      <c r="K22" s="31"/>
    </row>
    <row r="23" spans="1:11" s="32" customFormat="1" ht="15" customHeight="1" thickTop="1" thickBot="1" x14ac:dyDescent="0.25">
      <c r="A23" s="189"/>
      <c r="B23" s="5"/>
      <c r="C23" s="75"/>
      <c r="D23" s="21"/>
      <c r="E23" s="5"/>
      <c r="F23" s="29"/>
      <c r="G23" s="164"/>
      <c r="H23" s="68"/>
      <c r="I23" s="69"/>
      <c r="J23" s="30">
        <f t="shared" si="0"/>
        <v>0</v>
      </c>
      <c r="K23" s="31"/>
    </row>
    <row r="24" spans="1:11" s="32" customFormat="1" ht="15" customHeight="1" thickTop="1" thickBot="1" x14ac:dyDescent="0.25">
      <c r="A24" s="189"/>
      <c r="B24" s="5"/>
      <c r="C24" s="75"/>
      <c r="D24" s="21"/>
      <c r="E24" s="5"/>
      <c r="F24" s="29"/>
      <c r="G24" s="164"/>
      <c r="H24" s="68"/>
      <c r="I24" s="69"/>
      <c r="J24" s="30">
        <f t="shared" si="0"/>
        <v>0</v>
      </c>
      <c r="K24" s="31"/>
    </row>
    <row r="25" spans="1:11" s="32" customFormat="1" ht="15" customHeight="1" thickTop="1" thickBot="1" x14ac:dyDescent="0.25">
      <c r="A25" s="189"/>
      <c r="B25" s="5"/>
      <c r="C25" s="75"/>
      <c r="D25" s="21"/>
      <c r="E25" s="5"/>
      <c r="F25" s="29"/>
      <c r="G25" s="164"/>
      <c r="H25" s="68"/>
      <c r="I25" s="69"/>
      <c r="J25" s="30">
        <f t="shared" si="0"/>
        <v>0</v>
      </c>
      <c r="K25" s="31"/>
    </row>
    <row r="26" spans="1:11" s="32" customFormat="1" ht="15" customHeight="1" thickTop="1" thickBot="1" x14ac:dyDescent="0.25">
      <c r="A26" s="189"/>
      <c r="B26" s="5"/>
      <c r="C26" s="75"/>
      <c r="D26" s="21"/>
      <c r="E26" s="5"/>
      <c r="F26" s="29"/>
      <c r="G26" s="164"/>
      <c r="H26" s="68"/>
      <c r="I26" s="69"/>
      <c r="J26" s="30">
        <f t="shared" si="0"/>
        <v>0</v>
      </c>
      <c r="K26" s="31"/>
    </row>
    <row r="27" spans="1:11" s="32" customFormat="1" ht="15" customHeight="1" thickTop="1" thickBot="1" x14ac:dyDescent="0.25">
      <c r="A27" s="189"/>
      <c r="B27" s="5"/>
      <c r="C27" s="75"/>
      <c r="D27" s="21"/>
      <c r="E27" s="5"/>
      <c r="F27" s="29"/>
      <c r="G27" s="164"/>
      <c r="H27" s="68"/>
      <c r="I27" s="69"/>
      <c r="J27" s="30">
        <f t="shared" si="0"/>
        <v>0</v>
      </c>
      <c r="K27" s="31"/>
    </row>
    <row r="28" spans="1:11" s="32" customFormat="1" ht="15" customHeight="1" thickTop="1" thickBot="1" x14ac:dyDescent="0.25">
      <c r="A28" s="189"/>
      <c r="B28" s="5"/>
      <c r="C28" s="75"/>
      <c r="D28" s="21"/>
      <c r="E28" s="5"/>
      <c r="F28" s="29"/>
      <c r="G28" s="164"/>
      <c r="H28" s="68"/>
      <c r="I28" s="69"/>
      <c r="J28" s="30">
        <f t="shared" si="0"/>
        <v>0</v>
      </c>
      <c r="K28" s="31"/>
    </row>
    <row r="29" spans="1:11" s="32" customFormat="1" ht="15" customHeight="1" thickTop="1" thickBot="1" x14ac:dyDescent="0.25">
      <c r="A29" s="189"/>
      <c r="B29" s="5"/>
      <c r="C29" s="75"/>
      <c r="D29" s="21"/>
      <c r="E29" s="5"/>
      <c r="F29" s="29"/>
      <c r="G29" s="164"/>
      <c r="H29" s="68"/>
      <c r="I29" s="69"/>
      <c r="J29" s="30">
        <f t="shared" si="0"/>
        <v>0</v>
      </c>
      <c r="K29" s="31"/>
    </row>
    <row r="30" spans="1:11" s="32" customFormat="1" ht="15" customHeight="1" thickTop="1" thickBot="1" x14ac:dyDescent="0.25">
      <c r="A30" s="189"/>
      <c r="B30" s="5"/>
      <c r="C30" s="75"/>
      <c r="D30" s="21"/>
      <c r="E30" s="5"/>
      <c r="F30" s="29"/>
      <c r="G30" s="164"/>
      <c r="H30" s="68"/>
      <c r="I30" s="69"/>
      <c r="J30" s="30">
        <f t="shared" si="0"/>
        <v>0</v>
      </c>
      <c r="K30" s="31"/>
    </row>
    <row r="31" spans="1:11" s="32" customFormat="1" ht="15" customHeight="1" thickTop="1" thickBot="1" x14ac:dyDescent="0.25">
      <c r="A31" s="189"/>
      <c r="B31" s="5"/>
      <c r="C31" s="75"/>
      <c r="D31" s="21"/>
      <c r="E31" s="5"/>
      <c r="F31" s="29"/>
      <c r="G31" s="164"/>
      <c r="H31" s="69"/>
      <c r="I31" s="69"/>
      <c r="J31" s="30">
        <f t="shared" si="0"/>
        <v>0</v>
      </c>
      <c r="K31" s="31"/>
    </row>
    <row r="32" spans="1:11" s="32" customFormat="1" ht="15" customHeight="1" thickTop="1" thickBot="1" x14ac:dyDescent="0.25">
      <c r="A32" s="189"/>
      <c r="B32" s="5"/>
      <c r="C32" s="75"/>
      <c r="D32" s="21"/>
      <c r="E32" s="5"/>
      <c r="F32" s="29"/>
      <c r="G32" s="164"/>
      <c r="H32" s="69"/>
      <c r="I32" s="69"/>
      <c r="J32" s="30">
        <f t="shared" si="0"/>
        <v>0</v>
      </c>
      <c r="K32" s="31"/>
    </row>
    <row r="33" spans="1:11" s="32" customFormat="1" ht="15" customHeight="1" thickTop="1" thickBot="1" x14ac:dyDescent="0.25">
      <c r="A33" s="189"/>
      <c r="B33" s="5"/>
      <c r="C33" s="75"/>
      <c r="D33" s="21"/>
      <c r="E33" s="5"/>
      <c r="F33" s="29"/>
      <c r="G33" s="164"/>
      <c r="H33" s="69"/>
      <c r="I33" s="69"/>
      <c r="J33" s="30">
        <f t="shared" si="0"/>
        <v>0</v>
      </c>
      <c r="K33" s="31"/>
    </row>
    <row r="34" spans="1:11" s="32" customFormat="1" ht="15" customHeight="1" thickTop="1" thickBot="1" x14ac:dyDescent="0.25">
      <c r="A34" s="189"/>
      <c r="B34" s="5"/>
      <c r="C34" s="75"/>
      <c r="D34" s="21"/>
      <c r="E34" s="5"/>
      <c r="F34" s="29"/>
      <c r="G34" s="164"/>
      <c r="H34" s="69"/>
      <c r="I34" s="69"/>
      <c r="J34" s="30">
        <f t="shared" si="0"/>
        <v>0</v>
      </c>
      <c r="K34" s="31"/>
    </row>
    <row r="35" spans="1:11" s="32" customFormat="1" ht="15" customHeight="1" thickTop="1" thickBot="1" x14ac:dyDescent="0.25">
      <c r="A35" s="189"/>
      <c r="B35" s="33"/>
      <c r="C35" s="75"/>
      <c r="D35" s="21"/>
      <c r="E35" s="5"/>
      <c r="F35" s="34"/>
      <c r="G35" s="165"/>
      <c r="H35" s="70"/>
      <c r="I35" s="70"/>
      <c r="J35" s="30">
        <f t="shared" si="0"/>
        <v>0</v>
      </c>
      <c r="K35" s="31"/>
    </row>
    <row r="36" spans="1:11" ht="24.95" customHeight="1" thickTop="1" thickBot="1" x14ac:dyDescent="0.25">
      <c r="A36" s="79"/>
      <c r="B36" s="79"/>
      <c r="C36" s="223" t="s">
        <v>29</v>
      </c>
      <c r="D36" s="223"/>
      <c r="E36" s="223"/>
      <c r="F36" s="223"/>
      <c r="G36" s="223"/>
      <c r="H36" s="223"/>
      <c r="I36" s="223"/>
      <c r="J36" s="230"/>
    </row>
    <row r="37" spans="1:11" ht="20.100000000000001" customHeight="1" thickTop="1" thickBot="1" x14ac:dyDescent="0.25">
      <c r="A37" s="80"/>
      <c r="B37" s="80"/>
      <c r="C37" s="224" t="s">
        <v>2</v>
      </c>
      <c r="D37" s="224"/>
      <c r="E37" s="224"/>
      <c r="F37" s="224"/>
      <c r="G37" s="225"/>
      <c r="H37" s="226">
        <f>SUM(J9:J35)</f>
        <v>0</v>
      </c>
      <c r="I37" s="227"/>
      <c r="J37" s="229"/>
    </row>
    <row r="38" spans="1:11" ht="20.100000000000001" customHeight="1" thickTop="1" thickBot="1" x14ac:dyDescent="0.25">
      <c r="A38" s="80"/>
      <c r="B38" s="80"/>
      <c r="C38" s="224" t="s">
        <v>3</v>
      </c>
      <c r="D38" s="224"/>
      <c r="E38" s="224"/>
      <c r="F38" s="224"/>
      <c r="G38" s="225"/>
      <c r="H38" s="226">
        <f>0.21*H37</f>
        <v>0</v>
      </c>
      <c r="I38" s="227"/>
      <c r="J38" s="229"/>
    </row>
    <row r="39" spans="1:11" ht="20.100000000000001" customHeight="1" thickTop="1" thickBot="1" x14ac:dyDescent="0.25">
      <c r="A39" s="80"/>
      <c r="B39" s="80"/>
      <c r="C39" s="224" t="s">
        <v>32</v>
      </c>
      <c r="D39" s="224"/>
      <c r="E39" s="224"/>
      <c r="F39" s="224"/>
      <c r="G39" s="225"/>
      <c r="H39" s="226">
        <f>SUM(H37:XFD38)</f>
        <v>0</v>
      </c>
      <c r="I39" s="227"/>
      <c r="J39" s="229"/>
    </row>
  </sheetData>
  <sheetProtection formatCells="0" formatColumns="0" formatRows="0" insertColumns="0" insertRows="0" insertHyperlinks="0" deleteColumns="0" deleteRows="0" sort="0" autoFilter="0" pivotTables="0"/>
  <mergeCells count="17">
    <mergeCell ref="H37:J37"/>
    <mergeCell ref="H38:J38"/>
    <mergeCell ref="H39:J39"/>
    <mergeCell ref="C36:J36"/>
    <mergeCell ref="C37:G37"/>
    <mergeCell ref="C38:G38"/>
    <mergeCell ref="C39:G39"/>
    <mergeCell ref="B5:D5"/>
    <mergeCell ref="F5:J5"/>
    <mergeCell ref="B6:J6"/>
    <mergeCell ref="C7:J7"/>
    <mergeCell ref="B2:D2"/>
    <mergeCell ref="F2:J2"/>
    <mergeCell ref="B3:D3"/>
    <mergeCell ref="F3:J3"/>
    <mergeCell ref="B4:D4"/>
    <mergeCell ref="F4:J4"/>
  </mergeCells>
  <phoneticPr fontId="30" type="noConversion"/>
  <hyperlinks>
    <hyperlink ref="B6:J6" location="INDICE!A1" display="LINEA 40 H" xr:uid="{3187E876-553E-47FB-8757-F6E9A7C19887}"/>
    <hyperlink ref="B6:J6" location="INDEX!A1" display="RETIRO DE DAPSA" xr:uid="{1CB60C36-F03A-4B5A-A615-91FD774668BC}"/>
  </hyperlinks>
  <pageMargins left="0.39370078740157483" right="0" top="0.51181102362204722" bottom="0.15748031496062992" header="0" footer="0"/>
  <pageSetup scale="53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AD63C0-E099-490A-86FD-8A231FCF30A8}">
          <x14:formula1>
            <xm:f>BDCHOFERES!$A$2:$A$100</xm:f>
          </x14:formula1>
          <xm:sqref>B9:B35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AA43-144C-4124-BB4A-CF2EABAC65B5}">
  <sheetPr codeName="Hoja33">
    <tabColor rgb="FFFFFF00"/>
    <pageSetUpPr fitToPage="1"/>
  </sheetPr>
  <dimension ref="A1:O99"/>
  <sheetViews>
    <sheetView zoomScaleNormal="100" workbookViewId="0">
      <selection activeCell="G9" sqref="G9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13"/>
      <c r="F5" s="213"/>
      <c r="G5" s="213"/>
      <c r="H5" s="1"/>
    </row>
    <row r="6" spans="1:10" s="25" customFormat="1" ht="28.5" customHeight="1" thickTop="1" thickBot="1" x14ac:dyDescent="0.25">
      <c r="A6" s="214" t="s">
        <v>82</v>
      </c>
      <c r="B6" s="215"/>
      <c r="C6" s="215"/>
      <c r="D6" s="215"/>
      <c r="E6" s="215"/>
      <c r="F6" s="215"/>
      <c r="G6" s="215"/>
      <c r="H6" s="216"/>
    </row>
    <row r="7" spans="1:10" s="25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84"/>
      <c r="B9" s="75"/>
      <c r="C9" s="20"/>
      <c r="D9" s="5"/>
      <c r="E9" s="9"/>
      <c r="F9" s="85"/>
      <c r="G9" s="86">
        <f>SUM(F10)</f>
        <v>0</v>
      </c>
      <c r="H9" s="86"/>
    </row>
    <row r="10" spans="1:10" ht="15" customHeight="1" thickTop="1" thickBot="1" x14ac:dyDescent="0.25">
      <c r="A10" s="84"/>
      <c r="B10" s="75"/>
      <c r="C10" s="20"/>
      <c r="D10" s="5"/>
      <c r="E10" s="9"/>
      <c r="F10" s="85"/>
      <c r="G10" s="86">
        <f>SUM(F10)</f>
        <v>0</v>
      </c>
      <c r="H10" s="86"/>
    </row>
    <row r="11" spans="1:10" ht="15" customHeight="1" thickTop="1" thickBot="1" x14ac:dyDescent="0.25">
      <c r="A11" s="84"/>
      <c r="B11" s="75"/>
      <c r="C11" s="20"/>
      <c r="D11" s="5"/>
      <c r="E11" s="9"/>
      <c r="F11" s="85"/>
      <c r="G11" s="86">
        <f t="shared" ref="G11:G35" si="0">SUM(F11)</f>
        <v>0</v>
      </c>
      <c r="H11" s="86"/>
    </row>
    <row r="12" spans="1:10" ht="15" customHeight="1" thickTop="1" thickBot="1" x14ac:dyDescent="0.25">
      <c r="A12" s="84"/>
      <c r="B12" s="75"/>
      <c r="C12" s="20"/>
      <c r="D12" s="5"/>
      <c r="E12" s="9"/>
      <c r="F12" s="85"/>
      <c r="G12" s="86">
        <f t="shared" si="0"/>
        <v>0</v>
      </c>
      <c r="H12" s="86"/>
    </row>
    <row r="13" spans="1:10" ht="15" customHeight="1" thickTop="1" thickBot="1" x14ac:dyDescent="0.25">
      <c r="A13" s="84"/>
      <c r="B13" s="75"/>
      <c r="C13" s="20"/>
      <c r="D13" s="5"/>
      <c r="E13" s="9"/>
      <c r="F13" s="85"/>
      <c r="G13" s="86">
        <f t="shared" si="0"/>
        <v>0</v>
      </c>
      <c r="H13" s="86"/>
    </row>
    <row r="14" spans="1:10" ht="15" customHeight="1" thickTop="1" thickBot="1" x14ac:dyDescent="0.25">
      <c r="A14" s="84"/>
      <c r="B14" s="75"/>
      <c r="C14" s="20"/>
      <c r="D14" s="7"/>
      <c r="E14" s="9"/>
      <c r="F14" s="87"/>
      <c r="G14" s="86">
        <f t="shared" si="0"/>
        <v>0</v>
      </c>
      <c r="H14" s="86"/>
    </row>
    <row r="15" spans="1:10" ht="15" customHeight="1" thickTop="1" thickBot="1" x14ac:dyDescent="0.25">
      <c r="A15" s="84"/>
      <c r="B15" s="75"/>
      <c r="C15" s="20"/>
      <c r="D15" s="7"/>
      <c r="E15" s="9"/>
      <c r="F15" s="87"/>
      <c r="G15" s="86">
        <f t="shared" si="0"/>
        <v>0</v>
      </c>
      <c r="H15" s="86"/>
    </row>
    <row r="16" spans="1:10" ht="15" customHeight="1" thickTop="1" thickBot="1" x14ac:dyDescent="0.25">
      <c r="A16" s="84"/>
      <c r="B16" s="75"/>
      <c r="C16" s="20"/>
      <c r="D16" s="7"/>
      <c r="E16" s="9"/>
      <c r="F16" s="87"/>
      <c r="G16" s="86">
        <f t="shared" si="0"/>
        <v>0</v>
      </c>
      <c r="H16" s="86"/>
    </row>
    <row r="17" spans="1:8" ht="15" customHeight="1" thickTop="1" thickBot="1" x14ac:dyDescent="0.25">
      <c r="A17" s="84"/>
      <c r="B17" s="75"/>
      <c r="C17" s="20"/>
      <c r="D17" s="7"/>
      <c r="E17" s="9"/>
      <c r="F17" s="87"/>
      <c r="G17" s="86">
        <f t="shared" si="0"/>
        <v>0</v>
      </c>
      <c r="H17" s="86"/>
    </row>
    <row r="18" spans="1:8" ht="15" customHeight="1" thickTop="1" thickBot="1" x14ac:dyDescent="0.25">
      <c r="A18" s="84"/>
      <c r="B18" s="75"/>
      <c r="C18" s="20"/>
      <c r="D18" s="7"/>
      <c r="E18" s="9"/>
      <c r="F18" s="87"/>
      <c r="G18" s="86">
        <f t="shared" si="0"/>
        <v>0</v>
      </c>
      <c r="H18" s="86"/>
    </row>
    <row r="19" spans="1:8" ht="15" customHeight="1" thickTop="1" thickBot="1" x14ac:dyDescent="0.25">
      <c r="A19" s="84"/>
      <c r="B19" s="75"/>
      <c r="C19" s="20"/>
      <c r="D19" s="7"/>
      <c r="E19" s="9"/>
      <c r="F19" s="87"/>
      <c r="G19" s="86">
        <f t="shared" si="0"/>
        <v>0</v>
      </c>
      <c r="H19" s="86"/>
    </row>
    <row r="20" spans="1:8" ht="15" customHeight="1" thickTop="1" thickBot="1" x14ac:dyDescent="0.25">
      <c r="A20" s="84"/>
      <c r="B20" s="75"/>
      <c r="C20" s="20"/>
      <c r="D20" s="7"/>
      <c r="E20" s="9"/>
      <c r="F20" s="87"/>
      <c r="G20" s="86">
        <f t="shared" si="0"/>
        <v>0</v>
      </c>
      <c r="H20" s="86"/>
    </row>
    <row r="21" spans="1:8" ht="15" customHeight="1" thickTop="1" thickBot="1" x14ac:dyDescent="0.25">
      <c r="A21" s="84"/>
      <c r="B21" s="75"/>
      <c r="C21" s="20"/>
      <c r="D21" s="5"/>
      <c r="E21" s="9"/>
      <c r="F21" s="87"/>
      <c r="G21" s="86">
        <f t="shared" si="0"/>
        <v>0</v>
      </c>
      <c r="H21" s="86"/>
    </row>
    <row r="22" spans="1:8" ht="15" customHeight="1" thickTop="1" thickBot="1" x14ac:dyDescent="0.25">
      <c r="A22" s="84"/>
      <c r="B22" s="75"/>
      <c r="C22" s="20"/>
      <c r="D22" s="8"/>
      <c r="E22" s="9"/>
      <c r="F22" s="87"/>
      <c r="G22" s="86">
        <f t="shared" si="0"/>
        <v>0</v>
      </c>
      <c r="H22" s="86"/>
    </row>
    <row r="23" spans="1:8" ht="15" customHeight="1" thickTop="1" thickBot="1" x14ac:dyDescent="0.25">
      <c r="A23" s="84"/>
      <c r="B23" s="75"/>
      <c r="C23" s="20"/>
      <c r="D23" s="7"/>
      <c r="E23" s="9"/>
      <c r="F23" s="87"/>
      <c r="G23" s="86">
        <f t="shared" si="0"/>
        <v>0</v>
      </c>
      <c r="H23" s="86"/>
    </row>
    <row r="24" spans="1:8" ht="15" customHeight="1" thickTop="1" thickBot="1" x14ac:dyDescent="0.25">
      <c r="A24" s="84"/>
      <c r="B24" s="75"/>
      <c r="C24" s="20"/>
      <c r="D24" s="7"/>
      <c r="E24" s="9"/>
      <c r="F24" s="87"/>
      <c r="G24" s="86">
        <f t="shared" si="0"/>
        <v>0</v>
      </c>
      <c r="H24" s="86"/>
    </row>
    <row r="25" spans="1:8" ht="15" customHeight="1" thickTop="1" thickBot="1" x14ac:dyDescent="0.25">
      <c r="A25" s="84"/>
      <c r="B25" s="75"/>
      <c r="C25" s="20"/>
      <c r="D25" s="7"/>
      <c r="E25" s="9"/>
      <c r="F25" s="87"/>
      <c r="G25" s="86">
        <f t="shared" si="0"/>
        <v>0</v>
      </c>
      <c r="H25" s="86"/>
    </row>
    <row r="26" spans="1:8" ht="15" customHeight="1" thickTop="1" thickBot="1" x14ac:dyDescent="0.25">
      <c r="A26" s="84"/>
      <c r="B26" s="75"/>
      <c r="C26" s="20"/>
      <c r="D26" s="7"/>
      <c r="E26" s="9"/>
      <c r="F26" s="87"/>
      <c r="G26" s="86">
        <f t="shared" si="0"/>
        <v>0</v>
      </c>
      <c r="H26" s="86"/>
    </row>
    <row r="27" spans="1:8" ht="15" customHeight="1" thickTop="1" thickBot="1" x14ac:dyDescent="0.25">
      <c r="A27" s="84"/>
      <c r="B27" s="75"/>
      <c r="C27" s="20"/>
      <c r="D27" s="7"/>
      <c r="E27" s="9"/>
      <c r="F27" s="87"/>
      <c r="G27" s="86">
        <f t="shared" si="0"/>
        <v>0</v>
      </c>
      <c r="H27" s="86"/>
    </row>
    <row r="28" spans="1:8" ht="15" customHeight="1" thickTop="1" thickBot="1" x14ac:dyDescent="0.25">
      <c r="A28" s="84"/>
      <c r="B28" s="75"/>
      <c r="C28" s="20"/>
      <c r="D28" s="7"/>
      <c r="E28" s="9"/>
      <c r="F28" s="87"/>
      <c r="G28" s="86">
        <f t="shared" si="0"/>
        <v>0</v>
      </c>
      <c r="H28" s="86"/>
    </row>
    <row r="29" spans="1:8" ht="15" customHeight="1" thickTop="1" thickBot="1" x14ac:dyDescent="0.25">
      <c r="A29" s="84"/>
      <c r="B29" s="75"/>
      <c r="C29" s="20"/>
      <c r="D29" s="7"/>
      <c r="E29" s="9"/>
      <c r="F29" s="87"/>
      <c r="G29" s="86">
        <f t="shared" si="0"/>
        <v>0</v>
      </c>
      <c r="H29" s="86"/>
    </row>
    <row r="30" spans="1:8" ht="15" customHeight="1" thickTop="1" thickBot="1" x14ac:dyDescent="0.25">
      <c r="A30" s="84"/>
      <c r="B30" s="75"/>
      <c r="C30" s="20"/>
      <c r="D30" s="7"/>
      <c r="E30" s="9"/>
      <c r="F30" s="87"/>
      <c r="G30" s="86">
        <f t="shared" si="0"/>
        <v>0</v>
      </c>
      <c r="H30" s="86"/>
    </row>
    <row r="31" spans="1:8" ht="15" customHeight="1" thickTop="1" thickBot="1" x14ac:dyDescent="0.25">
      <c r="A31" s="84"/>
      <c r="B31" s="75"/>
      <c r="C31" s="20"/>
      <c r="D31" s="7"/>
      <c r="E31" s="9"/>
      <c r="F31" s="87"/>
      <c r="G31" s="86">
        <f t="shared" si="0"/>
        <v>0</v>
      </c>
      <c r="H31" s="86"/>
    </row>
    <row r="32" spans="1:8" ht="15" customHeight="1" thickTop="1" thickBot="1" x14ac:dyDescent="0.25">
      <c r="A32" s="84"/>
      <c r="B32" s="75"/>
      <c r="C32" s="20"/>
      <c r="D32" s="7"/>
      <c r="E32" s="9"/>
      <c r="F32" s="87"/>
      <c r="G32" s="86">
        <f t="shared" si="0"/>
        <v>0</v>
      </c>
      <c r="H32" s="86"/>
    </row>
    <row r="33" spans="1:8" ht="15" customHeight="1" thickTop="1" thickBot="1" x14ac:dyDescent="0.25">
      <c r="A33" s="84"/>
      <c r="B33" s="75"/>
      <c r="C33" s="20"/>
      <c r="D33" s="7"/>
      <c r="E33" s="9"/>
      <c r="F33" s="87"/>
      <c r="G33" s="86">
        <f t="shared" si="0"/>
        <v>0</v>
      </c>
      <c r="H33" s="86"/>
    </row>
    <row r="34" spans="1:8" ht="15" customHeight="1" thickTop="1" thickBot="1" x14ac:dyDescent="0.25">
      <c r="A34" s="84"/>
      <c r="B34" s="75"/>
      <c r="C34" s="20"/>
      <c r="D34" s="7"/>
      <c r="E34" s="9"/>
      <c r="F34" s="87"/>
      <c r="G34" s="86">
        <f t="shared" si="0"/>
        <v>0</v>
      </c>
      <c r="H34" s="86"/>
    </row>
    <row r="35" spans="1:8" ht="15" customHeight="1" thickTop="1" thickBot="1" x14ac:dyDescent="0.25">
      <c r="A35" s="88"/>
      <c r="B35" s="75"/>
      <c r="C35" s="20"/>
      <c r="D35" s="7"/>
      <c r="E35" s="10"/>
      <c r="F35" s="89"/>
      <c r="G35" s="86">
        <f t="shared" si="0"/>
        <v>0</v>
      </c>
      <c r="H35" s="90"/>
    </row>
    <row r="36" spans="1:8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</row>
    <row r="37" spans="1:8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SUM(G11:G35)</f>
        <v>0</v>
      </c>
      <c r="H37" s="227"/>
    </row>
    <row r="38" spans="1:8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</row>
    <row r="39" spans="1:8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SUM(G37:H38)</f>
        <v>0</v>
      </c>
      <c r="H39" s="227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8:H38"/>
    <mergeCell ref="G37:H37"/>
    <mergeCell ref="G39:H39"/>
    <mergeCell ref="B36:H36"/>
    <mergeCell ref="B37:F37"/>
    <mergeCell ref="B38:F38"/>
    <mergeCell ref="B39:F39"/>
    <mergeCell ref="A5:C5"/>
    <mergeCell ref="E5:G5"/>
    <mergeCell ref="A6:H6"/>
    <mergeCell ref="B7:H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538D3D2C-07F3-4121-94DA-2D5E607660C0}"/>
    <hyperlink ref="A6:H6" location="INDEX!A1" display="RETIRO DE DAPSA" xr:uid="{FA7FE93A-5A58-4DA8-BCEE-A9056E9374D2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2A8D46-667A-44E5-8162-68D4E5E5CE97}">
          <x14:formula1>
            <xm:f>BDCHOFERES!$A$2:$A$100</xm:f>
          </x14:formula1>
          <xm:sqref>A9:A35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93911-3DDE-405B-8390-C8147B132765}">
  <sheetPr codeName="Hoja32">
    <tabColor rgb="FFFFFF00"/>
    <pageSetUpPr fitToPage="1"/>
  </sheetPr>
  <dimension ref="A1:O42"/>
  <sheetViews>
    <sheetView zoomScaleNormal="100" workbookViewId="0">
      <selection activeCell="A6" sqref="A6:H6"/>
    </sheetView>
  </sheetViews>
  <sheetFormatPr baseColWidth="10" defaultColWidth="0" defaultRowHeight="12.75" zeroHeight="1" x14ac:dyDescent="0.2"/>
  <cols>
    <col min="1" max="1" width="21.28515625" style="27" customWidth="1"/>
    <col min="2" max="2" width="25.140625" style="27" customWidth="1"/>
    <col min="3" max="3" width="45.140625" style="27" customWidth="1"/>
    <col min="4" max="4" width="22.28515625" style="27" customWidth="1"/>
    <col min="5" max="5" width="16" style="27" customWidth="1"/>
    <col min="6" max="6" width="14.28515625" style="27" customWidth="1"/>
    <col min="7" max="7" width="14.140625" style="27" customWidth="1"/>
    <col min="8" max="8" width="27.7109375" style="27" customWidth="1"/>
    <col min="9" max="9" width="11" style="27" hidden="1" customWidth="1"/>
    <col min="10" max="10" width="0" style="28" hidden="1" customWidth="1"/>
    <col min="11" max="11" width="11" style="28" hidden="1" customWidth="1"/>
    <col min="12" max="12" width="0" style="28" hidden="1" customWidth="1"/>
    <col min="13" max="13" width="11" style="28" hidden="1" customWidth="1"/>
    <col min="14" max="15" width="0" style="28" hidden="1" customWidth="1"/>
    <col min="16" max="16384" width="11.42578125" style="28" hidden="1"/>
  </cols>
  <sheetData>
    <row r="1" spans="1:10" x14ac:dyDescent="0.2">
      <c r="A1" s="62"/>
      <c r="B1" s="62"/>
      <c r="C1" s="62"/>
      <c r="D1" s="62"/>
      <c r="E1" s="62"/>
      <c r="F1" s="62"/>
      <c r="G1" s="63"/>
      <c r="H1" s="64"/>
    </row>
    <row r="2" spans="1:10" x14ac:dyDescent="0.2">
      <c r="A2" s="231"/>
      <c r="B2" s="231"/>
      <c r="C2" s="231"/>
      <c r="D2" s="65"/>
      <c r="E2" s="232"/>
      <c r="F2" s="232"/>
      <c r="G2" s="232"/>
      <c r="H2" s="64"/>
    </row>
    <row r="3" spans="1:10" x14ac:dyDescent="0.2">
      <c r="A3" s="231"/>
      <c r="B3" s="231"/>
      <c r="C3" s="231"/>
      <c r="D3" s="65"/>
      <c r="E3" s="232"/>
      <c r="F3" s="232"/>
      <c r="G3" s="232"/>
      <c r="H3" s="64"/>
    </row>
    <row r="4" spans="1:10" ht="16.5" x14ac:dyDescent="0.2">
      <c r="A4" s="233"/>
      <c r="B4" s="231"/>
      <c r="C4" s="231"/>
      <c r="D4" s="65"/>
      <c r="E4" s="232"/>
      <c r="F4" s="232"/>
      <c r="G4" s="232"/>
      <c r="H4" s="64"/>
    </row>
    <row r="5" spans="1:10" ht="17.25" thickBot="1" x14ac:dyDescent="0.25">
      <c r="A5" s="233"/>
      <c r="B5" s="231"/>
      <c r="C5" s="231"/>
      <c r="D5" s="65"/>
      <c r="E5" s="232"/>
      <c r="F5" s="232"/>
      <c r="G5" s="232"/>
      <c r="H5" s="64"/>
    </row>
    <row r="6" spans="1:10" s="71" customFormat="1" ht="28.5" customHeight="1" thickTop="1" thickBot="1" x14ac:dyDescent="0.25">
      <c r="A6" s="214" t="s">
        <v>76</v>
      </c>
      <c r="B6" s="215"/>
      <c r="C6" s="215"/>
      <c r="D6" s="215"/>
      <c r="E6" s="215"/>
      <c r="F6" s="215"/>
      <c r="G6" s="215"/>
      <c r="H6" s="216"/>
    </row>
    <row r="7" spans="1:10" s="71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71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72"/>
    </row>
    <row r="9" spans="1:10" s="2" customFormat="1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  <c r="I9" s="24"/>
    </row>
    <row r="10" spans="1:10" ht="15" customHeight="1" thickTop="1" thickBot="1" x14ac:dyDescent="0.25">
      <c r="A10" s="84"/>
      <c r="B10" s="75"/>
      <c r="C10" s="21"/>
      <c r="D10" s="6"/>
      <c r="E10" s="29"/>
      <c r="F10" s="85"/>
      <c r="G10" s="30">
        <f t="shared" ref="G10:G35" si="0">SUM(F10)</f>
        <v>0</v>
      </c>
      <c r="H10" s="30"/>
    </row>
    <row r="11" spans="1:10" ht="15" customHeight="1" thickTop="1" thickBot="1" x14ac:dyDescent="0.25">
      <c r="A11" s="84"/>
      <c r="B11" s="75"/>
      <c r="C11" s="21"/>
      <c r="D11" s="7"/>
      <c r="E11" s="29"/>
      <c r="F11" s="69"/>
      <c r="G11" s="30">
        <f t="shared" si="0"/>
        <v>0</v>
      </c>
      <c r="H11" s="30"/>
    </row>
    <row r="12" spans="1:10" ht="15" customHeight="1" thickTop="1" thickBot="1" x14ac:dyDescent="0.25">
      <c r="A12" s="84"/>
      <c r="B12" s="75"/>
      <c r="C12" s="21"/>
      <c r="D12" s="7"/>
      <c r="E12" s="29"/>
      <c r="F12" s="69"/>
      <c r="G12" s="30">
        <f t="shared" si="0"/>
        <v>0</v>
      </c>
      <c r="H12" s="30"/>
    </row>
    <row r="13" spans="1:10" ht="15" customHeight="1" thickTop="1" thickBot="1" x14ac:dyDescent="0.25">
      <c r="A13" s="84"/>
      <c r="B13" s="75"/>
      <c r="C13" s="21"/>
      <c r="D13" s="7"/>
      <c r="E13" s="29"/>
      <c r="F13" s="69"/>
      <c r="G13" s="30">
        <f t="shared" si="0"/>
        <v>0</v>
      </c>
      <c r="H13" s="30"/>
    </row>
    <row r="14" spans="1:10" ht="15" customHeight="1" thickTop="1" thickBot="1" x14ac:dyDescent="0.25">
      <c r="A14" s="84"/>
      <c r="B14" s="75"/>
      <c r="C14" s="21"/>
      <c r="D14" s="7"/>
      <c r="E14" s="29"/>
      <c r="F14" s="69"/>
      <c r="G14" s="30">
        <f t="shared" si="0"/>
        <v>0</v>
      </c>
      <c r="H14" s="30"/>
    </row>
    <row r="15" spans="1:10" ht="15" customHeight="1" thickTop="1" thickBot="1" x14ac:dyDescent="0.25">
      <c r="A15" s="84"/>
      <c r="B15" s="75"/>
      <c r="C15" s="21"/>
      <c r="D15" s="7"/>
      <c r="E15" s="29"/>
      <c r="F15" s="69"/>
      <c r="G15" s="30">
        <f t="shared" si="0"/>
        <v>0</v>
      </c>
      <c r="H15" s="30"/>
    </row>
    <row r="16" spans="1:10" ht="15" customHeight="1" thickTop="1" thickBot="1" x14ac:dyDescent="0.25">
      <c r="A16" s="84"/>
      <c r="B16" s="75"/>
      <c r="C16" s="21"/>
      <c r="D16" s="7"/>
      <c r="E16" s="29"/>
      <c r="F16" s="69"/>
      <c r="G16" s="30">
        <f t="shared" si="0"/>
        <v>0</v>
      </c>
      <c r="H16" s="30"/>
    </row>
    <row r="17" spans="1:8" ht="15" customHeight="1" thickTop="1" thickBot="1" x14ac:dyDescent="0.25">
      <c r="A17" s="84"/>
      <c r="B17" s="75"/>
      <c r="C17" s="21"/>
      <c r="D17" s="7"/>
      <c r="E17" s="29"/>
      <c r="F17" s="69"/>
      <c r="G17" s="30">
        <f t="shared" si="0"/>
        <v>0</v>
      </c>
      <c r="H17" s="30"/>
    </row>
    <row r="18" spans="1:8" ht="15" customHeight="1" thickTop="1" thickBot="1" x14ac:dyDescent="0.25">
      <c r="A18" s="84"/>
      <c r="B18" s="75"/>
      <c r="C18" s="21"/>
      <c r="D18" s="7"/>
      <c r="E18" s="29"/>
      <c r="F18" s="69"/>
      <c r="G18" s="30">
        <f t="shared" si="0"/>
        <v>0</v>
      </c>
      <c r="H18" s="30"/>
    </row>
    <row r="19" spans="1:8" ht="15" customHeight="1" thickTop="1" thickBot="1" x14ac:dyDescent="0.25">
      <c r="A19" s="84"/>
      <c r="B19" s="75"/>
      <c r="C19" s="21"/>
      <c r="D19" s="7"/>
      <c r="E19" s="29"/>
      <c r="F19" s="69"/>
      <c r="G19" s="30">
        <f t="shared" si="0"/>
        <v>0</v>
      </c>
      <c r="H19" s="30"/>
    </row>
    <row r="20" spans="1:8" ht="15" customHeight="1" thickTop="1" thickBot="1" x14ac:dyDescent="0.25">
      <c r="A20" s="84"/>
      <c r="B20" s="75"/>
      <c r="C20" s="21"/>
      <c r="D20" s="7"/>
      <c r="E20" s="29"/>
      <c r="F20" s="69"/>
      <c r="G20" s="30">
        <f t="shared" si="0"/>
        <v>0</v>
      </c>
      <c r="H20" s="30"/>
    </row>
    <row r="21" spans="1:8" ht="15" customHeight="1" thickTop="1" thickBot="1" x14ac:dyDescent="0.25">
      <c r="A21" s="84"/>
      <c r="B21" s="75"/>
      <c r="C21" s="21"/>
      <c r="D21" s="5"/>
      <c r="E21" s="29"/>
      <c r="F21" s="69"/>
      <c r="G21" s="30">
        <f t="shared" si="0"/>
        <v>0</v>
      </c>
      <c r="H21" s="30"/>
    </row>
    <row r="22" spans="1:8" ht="15" customHeight="1" thickTop="1" thickBot="1" x14ac:dyDescent="0.25">
      <c r="A22" s="84"/>
      <c r="B22" s="75"/>
      <c r="C22" s="21"/>
      <c r="D22" s="8"/>
      <c r="E22" s="29"/>
      <c r="F22" s="69"/>
      <c r="G22" s="30">
        <f t="shared" si="0"/>
        <v>0</v>
      </c>
      <c r="H22" s="30"/>
    </row>
    <row r="23" spans="1:8" ht="15" customHeight="1" thickTop="1" thickBot="1" x14ac:dyDescent="0.25">
      <c r="A23" s="84"/>
      <c r="B23" s="75"/>
      <c r="C23" s="21"/>
      <c r="D23" s="7"/>
      <c r="E23" s="29"/>
      <c r="F23" s="69"/>
      <c r="G23" s="30">
        <f t="shared" si="0"/>
        <v>0</v>
      </c>
      <c r="H23" s="30"/>
    </row>
    <row r="24" spans="1:8" ht="15" customHeight="1" thickTop="1" thickBot="1" x14ac:dyDescent="0.25">
      <c r="A24" s="84"/>
      <c r="B24" s="75"/>
      <c r="C24" s="21"/>
      <c r="D24" s="7"/>
      <c r="E24" s="29"/>
      <c r="F24" s="69"/>
      <c r="G24" s="30">
        <f t="shared" si="0"/>
        <v>0</v>
      </c>
      <c r="H24" s="30"/>
    </row>
    <row r="25" spans="1:8" ht="15" customHeight="1" thickTop="1" thickBot="1" x14ac:dyDescent="0.25">
      <c r="A25" s="84"/>
      <c r="B25" s="75"/>
      <c r="C25" s="21"/>
      <c r="D25" s="7"/>
      <c r="E25" s="29"/>
      <c r="F25" s="69"/>
      <c r="G25" s="30">
        <f t="shared" si="0"/>
        <v>0</v>
      </c>
      <c r="H25" s="30"/>
    </row>
    <row r="26" spans="1:8" ht="15" customHeight="1" thickTop="1" thickBot="1" x14ac:dyDescent="0.25">
      <c r="A26" s="84"/>
      <c r="B26" s="75"/>
      <c r="C26" s="21"/>
      <c r="D26" s="7"/>
      <c r="E26" s="29"/>
      <c r="F26" s="69"/>
      <c r="G26" s="30">
        <f t="shared" si="0"/>
        <v>0</v>
      </c>
      <c r="H26" s="30"/>
    </row>
    <row r="27" spans="1:8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</row>
    <row r="28" spans="1:8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</row>
    <row r="29" spans="1:8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</row>
    <row r="30" spans="1:8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</row>
    <row r="31" spans="1:8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</row>
    <row r="32" spans="1:8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</row>
    <row r="33" spans="1:8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</row>
    <row r="34" spans="1:8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</row>
    <row r="35" spans="1:8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</row>
    <row r="36" spans="1:8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</row>
    <row r="37" spans="1:8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SUM(G9:G35)</f>
        <v>0</v>
      </c>
      <c r="H37" s="227"/>
    </row>
    <row r="38" spans="1:8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</row>
    <row r="39" spans="1:8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SUM(G37:H38)</f>
        <v>0</v>
      </c>
      <c r="H39" s="227"/>
    </row>
    <row r="42" spans="1:8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7:H37"/>
    <mergeCell ref="G38:H38"/>
    <mergeCell ref="G39:H39"/>
    <mergeCell ref="B37:F37"/>
    <mergeCell ref="B38:F38"/>
    <mergeCell ref="B39:F39"/>
    <mergeCell ref="A5:C5"/>
    <mergeCell ref="E5:G5"/>
    <mergeCell ref="A6:H6"/>
    <mergeCell ref="B7:H7"/>
    <mergeCell ref="B36:H36"/>
    <mergeCell ref="A2:C2"/>
    <mergeCell ref="E2:G2"/>
    <mergeCell ref="A3:C3"/>
    <mergeCell ref="E3:G3"/>
    <mergeCell ref="A4:C4"/>
    <mergeCell ref="E4:G4"/>
  </mergeCells>
  <dataValidations count="1">
    <dataValidation type="list" allowBlank="1" showInputMessage="1" showErrorMessage="1" sqref="A27:A35" xr:uid="{1266A7B0-D55D-4905-BBE5-3BDE036A8D90}">
      <formula1>#REF!</formula1>
    </dataValidation>
  </dataValidations>
  <hyperlinks>
    <hyperlink ref="A6:G6" location="INDICE!A1" display="LINEA 40 H" xr:uid="{7563F026-72A0-4E63-ACA8-5EE45D4F22D8}"/>
    <hyperlink ref="A6:H6" location="INDEX!A1" display="ENVIOS A DAPSA" xr:uid="{45371A40-4637-4433-9D3D-A9F56F4F8F7D}"/>
  </hyperlinks>
  <pageMargins left="0.39370078740157483" right="0" top="0.51181102362204722" bottom="0.15748031496062992" header="0" footer="0"/>
  <pageSetup paperSize="9" scale="90" orientation="landscape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F35573-9704-424C-86CA-CB36E5D3D54E}">
          <x14:formula1>
            <xm:f>BDCHOFERES!$A$2:$A$100</xm:f>
          </x14:formula1>
          <xm:sqref>A9:A26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9716D-18F7-40ED-852E-2EF8002A307C}">
  <sheetPr codeName="Hoja38">
    <tabColor rgb="FFFFFF00"/>
    <pageSetUpPr fitToPage="1"/>
  </sheetPr>
  <dimension ref="A1:O42"/>
  <sheetViews>
    <sheetView zoomScaleNormal="100" workbookViewId="0">
      <selection activeCell="C12" sqref="C12"/>
    </sheetView>
  </sheetViews>
  <sheetFormatPr baseColWidth="10" defaultColWidth="0" defaultRowHeight="12.75" customHeight="1" zeroHeight="1" x14ac:dyDescent="0.2"/>
  <cols>
    <col min="1" max="1" width="21.28515625" style="27" customWidth="1"/>
    <col min="2" max="2" width="25.140625" style="27" customWidth="1"/>
    <col min="3" max="3" width="45.140625" style="27" customWidth="1"/>
    <col min="4" max="4" width="22.28515625" style="27" customWidth="1"/>
    <col min="5" max="5" width="16" style="27" customWidth="1"/>
    <col min="6" max="6" width="14.28515625" style="27" customWidth="1"/>
    <col min="7" max="7" width="14.140625" style="27" customWidth="1"/>
    <col min="8" max="8" width="27.7109375" style="27" customWidth="1"/>
    <col min="9" max="9" width="11" style="27" hidden="1" customWidth="1"/>
    <col min="10" max="10" width="0" style="28" hidden="1" customWidth="1"/>
    <col min="11" max="11" width="11" style="28" hidden="1" customWidth="1"/>
    <col min="12" max="12" width="0" style="28" hidden="1" customWidth="1"/>
    <col min="13" max="13" width="11" style="28" hidden="1" customWidth="1"/>
    <col min="14" max="15" width="0" style="28" hidden="1" customWidth="1"/>
    <col min="16" max="16384" width="11.42578125" style="28" hidden="1"/>
  </cols>
  <sheetData>
    <row r="1" spans="1:10" x14ac:dyDescent="0.2">
      <c r="A1" s="62"/>
      <c r="B1" s="62"/>
      <c r="C1" s="62"/>
      <c r="D1" s="62"/>
      <c r="E1" s="62"/>
      <c r="F1" s="62"/>
      <c r="G1" s="63"/>
      <c r="H1" s="64"/>
    </row>
    <row r="2" spans="1:10" x14ac:dyDescent="0.2">
      <c r="A2" s="231"/>
      <c r="B2" s="231"/>
      <c r="C2" s="231"/>
      <c r="D2" s="65"/>
      <c r="E2" s="232"/>
      <c r="F2" s="232"/>
      <c r="G2" s="232"/>
      <c r="H2" s="64"/>
    </row>
    <row r="3" spans="1:10" x14ac:dyDescent="0.2">
      <c r="A3" s="231"/>
      <c r="B3" s="231"/>
      <c r="C3" s="231"/>
      <c r="D3" s="65"/>
      <c r="E3" s="232"/>
      <c r="F3" s="232"/>
      <c r="G3" s="232"/>
      <c r="H3" s="64"/>
    </row>
    <row r="4" spans="1:10" ht="16.5" x14ac:dyDescent="0.2">
      <c r="A4" s="233"/>
      <c r="B4" s="231"/>
      <c r="C4" s="231"/>
      <c r="D4" s="65"/>
      <c r="E4" s="232"/>
      <c r="F4" s="232"/>
      <c r="G4" s="232"/>
      <c r="H4" s="64"/>
    </row>
    <row r="5" spans="1:10" ht="17.25" thickBot="1" x14ac:dyDescent="0.25">
      <c r="A5" s="233"/>
      <c r="B5" s="231"/>
      <c r="C5" s="231"/>
      <c r="D5" s="65"/>
      <c r="E5" s="232"/>
      <c r="F5" s="232"/>
      <c r="G5" s="232"/>
      <c r="H5" s="64"/>
    </row>
    <row r="6" spans="1:10" s="71" customFormat="1" ht="28.5" customHeight="1" thickTop="1" thickBot="1" x14ac:dyDescent="0.25">
      <c r="A6" s="214" t="s">
        <v>79</v>
      </c>
      <c r="B6" s="215"/>
      <c r="C6" s="215"/>
      <c r="D6" s="215"/>
      <c r="E6" s="215"/>
      <c r="F6" s="215"/>
      <c r="G6" s="215"/>
      <c r="H6" s="216"/>
    </row>
    <row r="7" spans="1:10" s="71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71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72"/>
    </row>
    <row r="9" spans="1:10" s="2" customFormat="1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  <c r="I9" s="24"/>
    </row>
    <row r="10" spans="1:10" ht="15" customHeight="1" thickTop="1" thickBot="1" x14ac:dyDescent="0.25">
      <c r="A10" s="5"/>
      <c r="B10" s="75"/>
      <c r="C10" s="21"/>
      <c r="D10" s="6"/>
      <c r="E10" s="29"/>
      <c r="F10" s="69"/>
      <c r="G10" s="30">
        <f t="shared" ref="G10:G35" si="0">SUM(F10)</f>
        <v>0</v>
      </c>
      <c r="H10" s="30"/>
    </row>
    <row r="11" spans="1:10" ht="15" customHeight="1" thickTop="1" thickBot="1" x14ac:dyDescent="0.25">
      <c r="A11" s="5"/>
      <c r="B11" s="75"/>
      <c r="C11" s="21"/>
      <c r="D11" s="7"/>
      <c r="E11" s="29"/>
      <c r="F11" s="69"/>
      <c r="G11" s="30">
        <f t="shared" si="0"/>
        <v>0</v>
      </c>
      <c r="H11" s="30"/>
    </row>
    <row r="12" spans="1:10" ht="15" customHeight="1" thickTop="1" thickBot="1" x14ac:dyDescent="0.25">
      <c r="A12" s="5"/>
      <c r="B12" s="75"/>
      <c r="C12" s="21"/>
      <c r="D12" s="7"/>
      <c r="E12" s="29"/>
      <c r="F12" s="69"/>
      <c r="G12" s="30">
        <f t="shared" si="0"/>
        <v>0</v>
      </c>
      <c r="H12" s="30"/>
    </row>
    <row r="13" spans="1:10" ht="15" customHeight="1" thickTop="1" thickBot="1" x14ac:dyDescent="0.25">
      <c r="A13" s="5"/>
      <c r="B13" s="75"/>
      <c r="C13" s="21"/>
      <c r="D13" s="7"/>
      <c r="E13" s="29"/>
      <c r="F13" s="69"/>
      <c r="G13" s="30">
        <f t="shared" si="0"/>
        <v>0</v>
      </c>
      <c r="H13" s="30"/>
    </row>
    <row r="14" spans="1:10" ht="15" customHeight="1" thickTop="1" thickBot="1" x14ac:dyDescent="0.25">
      <c r="A14" s="5"/>
      <c r="B14" s="75"/>
      <c r="C14" s="21"/>
      <c r="D14" s="7"/>
      <c r="E14" s="29"/>
      <c r="F14" s="69"/>
      <c r="G14" s="30">
        <f t="shared" si="0"/>
        <v>0</v>
      </c>
      <c r="H14" s="30"/>
    </row>
    <row r="15" spans="1:10" ht="15" customHeight="1" thickTop="1" thickBot="1" x14ac:dyDescent="0.25">
      <c r="A15" s="5"/>
      <c r="B15" s="75"/>
      <c r="C15" s="21"/>
      <c r="D15" s="7"/>
      <c r="E15" s="29"/>
      <c r="F15" s="69"/>
      <c r="G15" s="30">
        <f t="shared" si="0"/>
        <v>0</v>
      </c>
      <c r="H15" s="30"/>
    </row>
    <row r="16" spans="1:10" ht="15" customHeight="1" thickTop="1" thickBot="1" x14ac:dyDescent="0.25">
      <c r="A16" s="5"/>
      <c r="B16" s="75"/>
      <c r="C16" s="21"/>
      <c r="D16" s="7"/>
      <c r="E16" s="29"/>
      <c r="F16" s="69"/>
      <c r="G16" s="30">
        <f t="shared" si="0"/>
        <v>0</v>
      </c>
      <c r="H16" s="30"/>
    </row>
    <row r="17" spans="1:8" ht="15" customHeight="1" thickTop="1" thickBot="1" x14ac:dyDescent="0.25">
      <c r="A17" s="5"/>
      <c r="B17" s="75"/>
      <c r="C17" s="21"/>
      <c r="D17" s="7"/>
      <c r="E17" s="29"/>
      <c r="F17" s="69"/>
      <c r="G17" s="30">
        <f t="shared" si="0"/>
        <v>0</v>
      </c>
      <c r="H17" s="30"/>
    </row>
    <row r="18" spans="1:8" ht="15" customHeight="1" thickTop="1" thickBot="1" x14ac:dyDescent="0.25">
      <c r="A18" s="5"/>
      <c r="B18" s="75"/>
      <c r="C18" s="21"/>
      <c r="D18" s="7"/>
      <c r="E18" s="29"/>
      <c r="F18" s="69"/>
      <c r="G18" s="30">
        <f t="shared" si="0"/>
        <v>0</v>
      </c>
      <c r="H18" s="30"/>
    </row>
    <row r="19" spans="1:8" ht="15" customHeight="1" thickTop="1" thickBot="1" x14ac:dyDescent="0.25">
      <c r="A19" s="5"/>
      <c r="B19" s="75"/>
      <c r="C19" s="21"/>
      <c r="D19" s="7"/>
      <c r="E19" s="29"/>
      <c r="F19" s="69"/>
      <c r="G19" s="30">
        <f t="shared" si="0"/>
        <v>0</v>
      </c>
      <c r="H19" s="30"/>
    </row>
    <row r="20" spans="1:8" ht="15" customHeight="1" thickTop="1" thickBot="1" x14ac:dyDescent="0.25">
      <c r="A20" s="5"/>
      <c r="B20" s="75"/>
      <c r="C20" s="21"/>
      <c r="D20" s="7"/>
      <c r="E20" s="29"/>
      <c r="F20" s="69"/>
      <c r="G20" s="30">
        <f t="shared" si="0"/>
        <v>0</v>
      </c>
      <c r="H20" s="30"/>
    </row>
    <row r="21" spans="1:8" ht="15" customHeight="1" thickTop="1" thickBot="1" x14ac:dyDescent="0.25">
      <c r="A21" s="5"/>
      <c r="B21" s="75"/>
      <c r="C21" s="21"/>
      <c r="D21" s="5"/>
      <c r="E21" s="29"/>
      <c r="F21" s="69"/>
      <c r="G21" s="30">
        <f t="shared" si="0"/>
        <v>0</v>
      </c>
      <c r="H21" s="30"/>
    </row>
    <row r="22" spans="1:8" ht="15" customHeight="1" thickTop="1" thickBot="1" x14ac:dyDescent="0.25">
      <c r="A22" s="5"/>
      <c r="B22" s="75"/>
      <c r="C22" s="21"/>
      <c r="D22" s="8"/>
      <c r="E22" s="29"/>
      <c r="F22" s="69"/>
      <c r="G22" s="30">
        <f t="shared" si="0"/>
        <v>0</v>
      </c>
      <c r="H22" s="30"/>
    </row>
    <row r="23" spans="1:8" ht="15" customHeight="1" thickTop="1" thickBot="1" x14ac:dyDescent="0.25">
      <c r="A23" s="5"/>
      <c r="B23" s="75"/>
      <c r="C23" s="21"/>
      <c r="D23" s="7"/>
      <c r="E23" s="29"/>
      <c r="F23" s="69"/>
      <c r="G23" s="30">
        <f t="shared" si="0"/>
        <v>0</v>
      </c>
      <c r="H23" s="30"/>
    </row>
    <row r="24" spans="1:8" ht="15" customHeight="1" thickTop="1" thickBot="1" x14ac:dyDescent="0.25">
      <c r="A24" s="5"/>
      <c r="B24" s="75"/>
      <c r="C24" s="21"/>
      <c r="D24" s="7"/>
      <c r="E24" s="29"/>
      <c r="F24" s="69"/>
      <c r="G24" s="30">
        <f t="shared" si="0"/>
        <v>0</v>
      </c>
      <c r="H24" s="30"/>
    </row>
    <row r="25" spans="1:8" ht="15" customHeight="1" thickTop="1" thickBot="1" x14ac:dyDescent="0.25">
      <c r="A25" s="5"/>
      <c r="B25" s="75"/>
      <c r="C25" s="21"/>
      <c r="D25" s="7"/>
      <c r="E25" s="29"/>
      <c r="F25" s="69"/>
      <c r="G25" s="30">
        <f t="shared" si="0"/>
        <v>0</v>
      </c>
      <c r="H25" s="30"/>
    </row>
    <row r="26" spans="1:8" ht="15" customHeight="1" thickTop="1" thickBot="1" x14ac:dyDescent="0.25">
      <c r="A26" s="5"/>
      <c r="B26" s="75"/>
      <c r="C26" s="21"/>
      <c r="D26" s="7"/>
      <c r="E26" s="29"/>
      <c r="F26" s="69"/>
      <c r="G26" s="30">
        <f t="shared" si="0"/>
        <v>0</v>
      </c>
      <c r="H26" s="30"/>
    </row>
    <row r="27" spans="1:8" ht="15" customHeight="1" thickTop="1" thickBot="1" x14ac:dyDescent="0.25">
      <c r="A27" s="5"/>
      <c r="B27" s="75"/>
      <c r="C27" s="21"/>
      <c r="D27" s="7"/>
      <c r="E27" s="29"/>
      <c r="F27" s="69"/>
      <c r="G27" s="30">
        <f t="shared" si="0"/>
        <v>0</v>
      </c>
      <c r="H27" s="30"/>
    </row>
    <row r="28" spans="1:8" ht="15" customHeight="1" thickTop="1" thickBot="1" x14ac:dyDescent="0.25">
      <c r="A28" s="5"/>
      <c r="B28" s="75"/>
      <c r="C28" s="21"/>
      <c r="D28" s="7"/>
      <c r="E28" s="29"/>
      <c r="F28" s="69"/>
      <c r="G28" s="30">
        <f t="shared" si="0"/>
        <v>0</v>
      </c>
      <c r="H28" s="30"/>
    </row>
    <row r="29" spans="1:8" ht="15" customHeight="1" thickTop="1" thickBot="1" x14ac:dyDescent="0.25">
      <c r="A29" s="5"/>
      <c r="B29" s="75"/>
      <c r="C29" s="21"/>
      <c r="D29" s="7"/>
      <c r="E29" s="29"/>
      <c r="F29" s="69"/>
      <c r="G29" s="30">
        <f t="shared" si="0"/>
        <v>0</v>
      </c>
      <c r="H29" s="30"/>
    </row>
    <row r="30" spans="1:8" ht="15" customHeight="1" thickTop="1" thickBot="1" x14ac:dyDescent="0.25">
      <c r="A30" s="5"/>
      <c r="B30" s="75"/>
      <c r="C30" s="21"/>
      <c r="D30" s="7"/>
      <c r="E30" s="29"/>
      <c r="F30" s="69"/>
      <c r="G30" s="30">
        <f t="shared" si="0"/>
        <v>0</v>
      </c>
      <c r="H30" s="30"/>
    </row>
    <row r="31" spans="1:8" ht="15" customHeight="1" thickTop="1" thickBot="1" x14ac:dyDescent="0.25">
      <c r="A31" s="5"/>
      <c r="B31" s="75"/>
      <c r="C31" s="21"/>
      <c r="D31" s="7"/>
      <c r="E31" s="29"/>
      <c r="F31" s="69"/>
      <c r="G31" s="30">
        <f t="shared" si="0"/>
        <v>0</v>
      </c>
      <c r="H31" s="30"/>
    </row>
    <row r="32" spans="1:8" ht="15" customHeight="1" thickTop="1" thickBot="1" x14ac:dyDescent="0.25">
      <c r="A32" s="5"/>
      <c r="B32" s="75"/>
      <c r="C32" s="21"/>
      <c r="D32" s="7"/>
      <c r="E32" s="29"/>
      <c r="F32" s="69"/>
      <c r="G32" s="30">
        <f t="shared" si="0"/>
        <v>0</v>
      </c>
      <c r="H32" s="30"/>
    </row>
    <row r="33" spans="1:8" ht="15" customHeight="1" thickTop="1" thickBot="1" x14ac:dyDescent="0.25">
      <c r="A33" s="5"/>
      <c r="B33" s="75"/>
      <c r="C33" s="21"/>
      <c r="D33" s="7"/>
      <c r="E33" s="29"/>
      <c r="F33" s="69"/>
      <c r="G33" s="30">
        <f t="shared" si="0"/>
        <v>0</v>
      </c>
      <c r="H33" s="30"/>
    </row>
    <row r="34" spans="1:8" ht="15" customHeight="1" thickTop="1" thickBot="1" x14ac:dyDescent="0.25">
      <c r="A34" s="5"/>
      <c r="B34" s="75"/>
      <c r="C34" s="21"/>
      <c r="D34" s="7"/>
      <c r="E34" s="29"/>
      <c r="F34" s="69"/>
      <c r="G34" s="30">
        <f t="shared" si="0"/>
        <v>0</v>
      </c>
      <c r="H34" s="30"/>
    </row>
    <row r="35" spans="1:8" ht="15" customHeight="1" thickTop="1" thickBot="1" x14ac:dyDescent="0.25">
      <c r="A35" s="33"/>
      <c r="B35" s="75"/>
      <c r="C35" s="21"/>
      <c r="D35" s="7"/>
      <c r="E35" s="34"/>
      <c r="F35" s="70"/>
      <c r="G35" s="30">
        <f t="shared" si="0"/>
        <v>0</v>
      </c>
      <c r="H35" s="83"/>
    </row>
    <row r="36" spans="1:8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</row>
    <row r="37" spans="1:8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SUM(G9:G35)</f>
        <v>0</v>
      </c>
      <c r="H37" s="227"/>
    </row>
    <row r="38" spans="1:8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</row>
    <row r="39" spans="1:8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SUM(G37:H38)</f>
        <v>0</v>
      </c>
      <c r="H39" s="227"/>
    </row>
    <row r="42" spans="1:8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  <mergeCell ref="A2:C2"/>
    <mergeCell ref="E2:G2"/>
    <mergeCell ref="A3:C3"/>
    <mergeCell ref="E3:G3"/>
    <mergeCell ref="A4:C4"/>
    <mergeCell ref="E4:G4"/>
  </mergeCells>
  <dataValidations count="1">
    <dataValidation type="list" allowBlank="1" showInputMessage="1" showErrorMessage="1" sqref="A10:A35" xr:uid="{BC41E929-9F10-4069-9A4B-0F4FC82E705A}">
      <formula1>#REF!</formula1>
    </dataValidation>
  </dataValidations>
  <hyperlinks>
    <hyperlink ref="A6:G6" location="INDICE!A1" display="LINEA 40 H" xr:uid="{ED91FF26-50D3-4031-AC38-D1B425D0FEFF}"/>
    <hyperlink ref="A6:H6" location="INDEX!A1" display="ENVIOS A DAPSA" xr:uid="{9B46EF81-4570-43E7-91F8-9F6946608C1E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678A8B-D00F-48B0-882B-3B8F87887A27}">
          <x14:formula1>
            <xm:f>BDCHOFERES!$A$2:$A$100</xm:f>
          </x14:formula1>
          <xm:sqref>A9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79799-4485-43ED-BC78-A769FBBDEC0B}">
  <sheetPr codeName="Hoja27">
    <tabColor rgb="FF92D050"/>
    <pageSetUpPr fitToPage="1"/>
  </sheetPr>
  <dimension ref="A1:R97"/>
  <sheetViews>
    <sheetView tabSelected="1" topLeftCell="B1" zoomScale="85" zoomScaleNormal="85" workbookViewId="0">
      <selection activeCell="A6" sqref="A6:L6"/>
    </sheetView>
  </sheetViews>
  <sheetFormatPr baseColWidth="10" defaultColWidth="0" defaultRowHeight="12.75" zeroHeight="1" x14ac:dyDescent="0.2"/>
  <cols>
    <col min="1" max="1" width="20.85546875" style="24" customWidth="1"/>
    <col min="2" max="2" width="29.7109375" style="24" bestFit="1" customWidth="1"/>
    <col min="3" max="3" width="45.140625" style="24" customWidth="1"/>
    <col min="4" max="4" width="36.85546875" style="24" bestFit="1" customWidth="1"/>
    <col min="5" max="5" width="12.140625" style="24" customWidth="1"/>
    <col min="6" max="6" width="31.140625" style="24" customWidth="1"/>
    <col min="7" max="7" width="28.7109375" style="24" customWidth="1"/>
    <col min="8" max="8" width="11.5703125" style="24" customWidth="1"/>
    <col min="9" max="9" width="16.85546875" style="24" customWidth="1"/>
    <col min="10" max="10" width="18.42578125" style="24" customWidth="1"/>
    <col min="11" max="11" width="14.140625" style="24" customWidth="1"/>
    <col min="12" max="12" width="27.7109375" style="24" customWidth="1"/>
    <col min="13" max="13" width="11" style="24" hidden="1" customWidth="1"/>
    <col min="14" max="14" width="0" style="2" hidden="1" customWidth="1"/>
    <col min="15" max="15" width="11" style="2" hidden="1" customWidth="1"/>
    <col min="16" max="16" width="0" style="2" hidden="1" customWidth="1"/>
    <col min="17" max="17" width="11" style="2" hidden="1" customWidth="1"/>
    <col min="18" max="18" width="0" style="2" hidden="1" customWidth="1"/>
    <col min="19" max="16384" width="11.42578125" style="2" hidden="1"/>
  </cols>
  <sheetData>
    <row r="1" spans="1:14" x14ac:dyDescent="0.2">
      <c r="A1" s="94"/>
      <c r="B1" s="95"/>
      <c r="C1" s="95"/>
      <c r="D1" s="95"/>
      <c r="E1" s="95"/>
      <c r="F1" s="95"/>
      <c r="G1" s="95"/>
      <c r="H1" s="95"/>
      <c r="I1" s="95"/>
      <c r="J1" s="95"/>
      <c r="K1" s="96"/>
      <c r="L1" s="97"/>
    </row>
    <row r="2" spans="1:14" x14ac:dyDescent="0.2">
      <c r="A2" s="234"/>
      <c r="B2" s="212"/>
      <c r="C2" s="212"/>
      <c r="D2" s="22"/>
      <c r="E2" s="22"/>
      <c r="F2" s="210"/>
      <c r="G2" s="22"/>
      <c r="H2" s="213"/>
      <c r="I2" s="213"/>
      <c r="J2" s="213"/>
      <c r="K2" s="213"/>
      <c r="L2" s="98"/>
    </row>
    <row r="3" spans="1:14" x14ac:dyDescent="0.2">
      <c r="A3" s="234"/>
      <c r="B3" s="212"/>
      <c r="C3" s="212"/>
      <c r="D3" s="22"/>
      <c r="E3" s="22"/>
      <c r="F3" s="210"/>
      <c r="G3" s="22"/>
      <c r="H3" s="213"/>
      <c r="I3" s="213"/>
      <c r="J3" s="213"/>
      <c r="K3" s="213"/>
      <c r="L3" s="98"/>
    </row>
    <row r="4" spans="1:14" ht="16.5" x14ac:dyDescent="0.25">
      <c r="A4" s="235"/>
      <c r="B4" s="212"/>
      <c r="C4" s="212"/>
      <c r="D4" s="22"/>
      <c r="E4" s="22"/>
      <c r="F4" s="210"/>
      <c r="G4" s="22"/>
      <c r="H4" s="213"/>
      <c r="I4" s="213"/>
      <c r="J4" s="213"/>
      <c r="K4" s="213"/>
      <c r="L4" s="98"/>
    </row>
    <row r="5" spans="1:14" ht="17.25" thickBot="1" x14ac:dyDescent="0.3">
      <c r="A5" s="235"/>
      <c r="B5" s="212"/>
      <c r="C5" s="212"/>
      <c r="D5" s="22"/>
      <c r="E5" s="22"/>
      <c r="F5" s="210"/>
      <c r="G5" s="22"/>
      <c r="H5" s="213"/>
      <c r="I5" s="213"/>
      <c r="J5" s="213"/>
      <c r="K5" s="213"/>
      <c r="L5" s="98"/>
    </row>
    <row r="6" spans="1:14" s="66" customFormat="1" ht="28.5" customHeight="1" thickTop="1" thickBot="1" x14ac:dyDescent="0.25">
      <c r="A6" s="236" t="s">
        <v>14</v>
      </c>
      <c r="B6" s="215"/>
      <c r="C6" s="215"/>
      <c r="D6" s="215"/>
      <c r="E6" s="215"/>
      <c r="F6" s="215"/>
      <c r="G6" s="215"/>
      <c r="H6" s="215"/>
      <c r="I6" s="215"/>
      <c r="J6" s="215"/>
      <c r="K6" s="215"/>
      <c r="L6" s="237"/>
    </row>
    <row r="7" spans="1:14" s="66" customFormat="1" ht="24.95" customHeight="1" thickTop="1" thickBot="1" x14ac:dyDescent="0.25">
      <c r="A7" s="99" t="s">
        <v>0</v>
      </c>
      <c r="B7" s="217">
        <f ca="1">TODAY()-1</f>
        <v>44892</v>
      </c>
      <c r="C7" s="218"/>
      <c r="D7" s="218"/>
      <c r="E7" s="218"/>
      <c r="F7" s="218"/>
      <c r="G7" s="218"/>
      <c r="H7" s="218"/>
      <c r="I7" s="218"/>
      <c r="J7" s="218"/>
      <c r="K7" s="218"/>
      <c r="L7" s="238"/>
    </row>
    <row r="8" spans="1:14" s="66" customFormat="1" ht="24.95" customHeight="1" thickTop="1" thickBot="1" x14ac:dyDescent="0.25">
      <c r="A8" s="100" t="s">
        <v>1</v>
      </c>
      <c r="B8" s="47" t="s">
        <v>20</v>
      </c>
      <c r="C8" s="48" t="s">
        <v>5</v>
      </c>
      <c r="D8" s="48" t="s">
        <v>23</v>
      </c>
      <c r="E8" s="48" t="s">
        <v>157</v>
      </c>
      <c r="F8" s="48" t="s">
        <v>816</v>
      </c>
      <c r="G8" s="46" t="s">
        <v>93</v>
      </c>
      <c r="H8" s="49" t="s">
        <v>22</v>
      </c>
      <c r="I8" s="50" t="s">
        <v>30</v>
      </c>
      <c r="J8" s="50" t="s">
        <v>31</v>
      </c>
      <c r="K8" s="51" t="s">
        <v>7</v>
      </c>
      <c r="L8" s="101" t="s">
        <v>21</v>
      </c>
      <c r="N8" s="67"/>
    </row>
    <row r="9" spans="1:14" s="178" customFormat="1" ht="24.95" customHeight="1" thickTop="1" thickBot="1" x14ac:dyDescent="0.25">
      <c r="A9" s="168" t="s">
        <v>88</v>
      </c>
      <c r="B9" s="169" t="s">
        <v>817</v>
      </c>
      <c r="C9" s="170" t="s">
        <v>311</v>
      </c>
      <c r="D9" s="170" t="s">
        <v>123</v>
      </c>
      <c r="E9" s="170"/>
      <c r="F9" s="170" t="s">
        <v>833</v>
      </c>
      <c r="G9" s="171" t="s">
        <v>832</v>
      </c>
      <c r="H9" s="170">
        <v>371.6</v>
      </c>
      <c r="I9" s="173"/>
      <c r="J9" s="174"/>
      <c r="K9" s="175">
        <f>J9+I9</f>
        <v>0</v>
      </c>
      <c r="L9" s="176"/>
      <c r="M9" s="177"/>
    </row>
    <row r="10" spans="1:14" s="178" customFormat="1" ht="24.95" customHeight="1" thickTop="1" thickBot="1" x14ac:dyDescent="0.25">
      <c r="A10" s="168" t="s">
        <v>88</v>
      </c>
      <c r="B10" s="169" t="s">
        <v>818</v>
      </c>
      <c r="C10" s="170" t="s">
        <v>819</v>
      </c>
      <c r="D10" s="170" t="s">
        <v>123</v>
      </c>
      <c r="E10" s="170"/>
      <c r="F10" s="170" t="s">
        <v>833</v>
      </c>
      <c r="G10" s="171" t="s">
        <v>834</v>
      </c>
      <c r="H10" s="172">
        <v>680.02</v>
      </c>
      <c r="I10" s="173"/>
      <c r="J10" s="174"/>
      <c r="K10" s="175">
        <f t="shared" ref="K10:K35" si="0">J10+I10</f>
        <v>0</v>
      </c>
      <c r="L10" s="176"/>
      <c r="M10" s="177"/>
    </row>
    <row r="11" spans="1:14" s="178" customFormat="1" ht="24.95" customHeight="1" thickTop="1" thickBot="1" x14ac:dyDescent="0.25">
      <c r="A11" s="168" t="s">
        <v>88</v>
      </c>
      <c r="B11" s="169" t="s">
        <v>820</v>
      </c>
      <c r="C11" s="170" t="s">
        <v>409</v>
      </c>
      <c r="D11" s="170" t="s">
        <v>123</v>
      </c>
      <c r="E11" s="170"/>
      <c r="F11" s="170" t="s">
        <v>836</v>
      </c>
      <c r="G11" s="171" t="s">
        <v>835</v>
      </c>
      <c r="H11" s="172">
        <v>191.68</v>
      </c>
      <c r="I11" s="173"/>
      <c r="J11" s="174"/>
      <c r="K11" s="175">
        <f t="shared" si="0"/>
        <v>0</v>
      </c>
      <c r="L11" s="176"/>
      <c r="M11" s="177"/>
    </row>
    <row r="12" spans="1:14" s="178" customFormat="1" ht="24.95" customHeight="1" thickTop="1" thickBot="1" x14ac:dyDescent="0.25">
      <c r="A12" s="168" t="s">
        <v>88</v>
      </c>
      <c r="B12" s="169" t="s">
        <v>821</v>
      </c>
      <c r="C12" s="170" t="s">
        <v>757</v>
      </c>
      <c r="D12" s="170" t="s">
        <v>123</v>
      </c>
      <c r="E12" s="170"/>
      <c r="F12" s="170" t="s">
        <v>836</v>
      </c>
      <c r="G12" s="171" t="s">
        <v>837</v>
      </c>
      <c r="H12" s="172">
        <v>900.48</v>
      </c>
      <c r="I12" s="173"/>
      <c r="J12" s="174"/>
      <c r="K12" s="175">
        <f t="shared" si="0"/>
        <v>0</v>
      </c>
      <c r="L12" s="176"/>
      <c r="M12" s="177"/>
    </row>
    <row r="13" spans="1:14" s="178" customFormat="1" ht="24.95" customHeight="1" thickTop="1" thickBot="1" x14ac:dyDescent="0.25">
      <c r="A13" s="168" t="s">
        <v>88</v>
      </c>
      <c r="B13" s="169" t="s">
        <v>822</v>
      </c>
      <c r="C13" s="170" t="s">
        <v>823</v>
      </c>
      <c r="D13" s="170" t="s">
        <v>123</v>
      </c>
      <c r="E13" s="170"/>
      <c r="F13" s="170" t="s">
        <v>836</v>
      </c>
      <c r="G13" s="171" t="s">
        <v>838</v>
      </c>
      <c r="H13" s="172">
        <v>766.7</v>
      </c>
      <c r="I13" s="173"/>
      <c r="J13" s="174"/>
      <c r="K13" s="175">
        <f t="shared" si="0"/>
        <v>0</v>
      </c>
      <c r="L13" s="176"/>
      <c r="M13" s="177"/>
    </row>
    <row r="14" spans="1:14" s="178" customFormat="1" ht="24.95" customHeight="1" thickTop="1" thickBot="1" x14ac:dyDescent="0.25">
      <c r="A14" s="168" t="s">
        <v>88</v>
      </c>
      <c r="B14" s="169" t="s">
        <v>824</v>
      </c>
      <c r="C14" s="170" t="s">
        <v>533</v>
      </c>
      <c r="D14" s="170" t="s">
        <v>123</v>
      </c>
      <c r="E14" s="170"/>
      <c r="F14" s="170" t="s">
        <v>833</v>
      </c>
      <c r="G14" s="171" t="s">
        <v>839</v>
      </c>
      <c r="H14" s="172">
        <v>1009.68</v>
      </c>
      <c r="I14" s="173"/>
      <c r="J14" s="174"/>
      <c r="K14" s="175">
        <f t="shared" si="0"/>
        <v>0</v>
      </c>
      <c r="L14" s="176"/>
      <c r="M14" s="177"/>
    </row>
    <row r="15" spans="1:14" s="178" customFormat="1" ht="24.95" customHeight="1" thickTop="1" thickBot="1" x14ac:dyDescent="0.25">
      <c r="A15" s="168" t="s">
        <v>88</v>
      </c>
      <c r="B15" s="169" t="s">
        <v>825</v>
      </c>
      <c r="C15" s="170" t="s">
        <v>188</v>
      </c>
      <c r="D15" s="170" t="s">
        <v>123</v>
      </c>
      <c r="E15" s="170"/>
      <c r="F15" s="170" t="s">
        <v>836</v>
      </c>
      <c r="G15" s="171" t="s">
        <v>13</v>
      </c>
      <c r="H15" s="172">
        <v>191.68</v>
      </c>
      <c r="I15" s="173"/>
      <c r="J15" s="174"/>
      <c r="K15" s="175">
        <f t="shared" si="0"/>
        <v>0</v>
      </c>
      <c r="L15" s="176"/>
      <c r="M15" s="177"/>
    </row>
    <row r="16" spans="1:14" s="178" customFormat="1" ht="24.95" customHeight="1" thickTop="1" thickBot="1" x14ac:dyDescent="0.25">
      <c r="A16" s="168" t="s">
        <v>88</v>
      </c>
      <c r="B16" s="169" t="s">
        <v>826</v>
      </c>
      <c r="C16" s="170" t="s">
        <v>311</v>
      </c>
      <c r="D16" s="170" t="s">
        <v>123</v>
      </c>
      <c r="E16" s="170"/>
      <c r="F16" s="170" t="s">
        <v>833</v>
      </c>
      <c r="G16" s="171" t="s">
        <v>832</v>
      </c>
      <c r="H16" s="172">
        <v>383.35</v>
      </c>
      <c r="I16" s="173"/>
      <c r="J16" s="174"/>
      <c r="K16" s="175">
        <f t="shared" si="0"/>
        <v>0</v>
      </c>
      <c r="L16" s="176"/>
      <c r="M16" s="177"/>
    </row>
    <row r="17" spans="1:13" s="178" customFormat="1" ht="24.95" customHeight="1" thickTop="1" thickBot="1" x14ac:dyDescent="0.25">
      <c r="A17" s="168" t="s">
        <v>88</v>
      </c>
      <c r="B17" s="169" t="s">
        <v>827</v>
      </c>
      <c r="C17" s="170" t="s">
        <v>757</v>
      </c>
      <c r="D17" s="170" t="s">
        <v>123</v>
      </c>
      <c r="E17" s="170"/>
      <c r="F17" s="170" t="s">
        <v>836</v>
      </c>
      <c r="G17" s="171" t="s">
        <v>840</v>
      </c>
      <c r="H17" s="172">
        <v>2703.36</v>
      </c>
      <c r="I17" s="173"/>
      <c r="J17" s="174"/>
      <c r="K17" s="175">
        <f t="shared" si="0"/>
        <v>0</v>
      </c>
      <c r="L17" s="176"/>
      <c r="M17" s="177"/>
    </row>
    <row r="18" spans="1:13" s="178" customFormat="1" ht="24.95" customHeight="1" thickTop="1" thickBot="1" x14ac:dyDescent="0.25">
      <c r="A18" s="168" t="s">
        <v>88</v>
      </c>
      <c r="B18" s="169" t="s">
        <v>828</v>
      </c>
      <c r="C18" s="170" t="s">
        <v>423</v>
      </c>
      <c r="D18" s="170" t="s">
        <v>424</v>
      </c>
      <c r="E18" s="170"/>
      <c r="F18" s="170" t="s">
        <v>842</v>
      </c>
      <c r="G18" s="171" t="s">
        <v>841</v>
      </c>
      <c r="H18" s="172">
        <v>391.55</v>
      </c>
      <c r="I18" s="173"/>
      <c r="J18" s="174"/>
      <c r="K18" s="175">
        <f t="shared" si="0"/>
        <v>0</v>
      </c>
      <c r="L18" s="176"/>
      <c r="M18" s="177"/>
    </row>
    <row r="19" spans="1:13" s="178" customFormat="1" ht="24.95" customHeight="1" thickTop="1" thickBot="1" x14ac:dyDescent="0.25">
      <c r="A19" s="168" t="s">
        <v>88</v>
      </c>
      <c r="B19" s="169" t="s">
        <v>829</v>
      </c>
      <c r="C19" s="170" t="s">
        <v>581</v>
      </c>
      <c r="D19" s="170" t="s">
        <v>582</v>
      </c>
      <c r="E19" s="170"/>
      <c r="F19" s="170" t="s">
        <v>833</v>
      </c>
      <c r="G19" s="171" t="s">
        <v>843</v>
      </c>
      <c r="H19" s="172">
        <v>195.78</v>
      </c>
      <c r="I19" s="173"/>
      <c r="J19" s="174"/>
      <c r="K19" s="175">
        <f t="shared" si="0"/>
        <v>0</v>
      </c>
      <c r="L19" s="176"/>
      <c r="M19" s="177"/>
    </row>
    <row r="20" spans="1:13" s="178" customFormat="1" ht="24.95" customHeight="1" thickTop="1" thickBot="1" x14ac:dyDescent="0.25">
      <c r="A20" s="168" t="s">
        <v>88</v>
      </c>
      <c r="B20" s="169" t="s">
        <v>830</v>
      </c>
      <c r="C20" s="170" t="s">
        <v>801</v>
      </c>
      <c r="D20" s="170" t="s">
        <v>770</v>
      </c>
      <c r="E20" s="170"/>
      <c r="F20" s="170" t="s">
        <v>833</v>
      </c>
      <c r="G20" s="171" t="s">
        <v>844</v>
      </c>
      <c r="H20" s="172">
        <v>391.55</v>
      </c>
      <c r="I20" s="173"/>
      <c r="J20" s="174"/>
      <c r="K20" s="175">
        <f t="shared" si="0"/>
        <v>0</v>
      </c>
      <c r="L20" s="176"/>
      <c r="M20" s="177"/>
    </row>
    <row r="21" spans="1:13" s="178" customFormat="1" ht="24.95" customHeight="1" thickTop="1" thickBot="1" x14ac:dyDescent="0.25">
      <c r="A21" s="168" t="s">
        <v>88</v>
      </c>
      <c r="B21" s="169" t="s">
        <v>831</v>
      </c>
      <c r="C21" s="170" t="s">
        <v>196</v>
      </c>
      <c r="D21" s="170" t="s">
        <v>197</v>
      </c>
      <c r="E21" s="170"/>
      <c r="F21" s="170" t="s">
        <v>833</v>
      </c>
      <c r="G21" s="171" t="s">
        <v>845</v>
      </c>
      <c r="H21" s="172">
        <v>195.78</v>
      </c>
      <c r="I21" s="173"/>
      <c r="J21" s="174"/>
      <c r="K21" s="175">
        <f t="shared" si="0"/>
        <v>0</v>
      </c>
      <c r="L21" s="176"/>
      <c r="M21" s="177"/>
    </row>
    <row r="22" spans="1:13" s="28" customFormat="1" ht="24.95" customHeight="1" thickTop="1" thickBot="1" x14ac:dyDescent="0.25">
      <c r="A22" s="168"/>
      <c r="B22" s="75"/>
      <c r="C22" s="21"/>
      <c r="D22" s="21"/>
      <c r="E22" s="170"/>
      <c r="F22" s="170"/>
      <c r="G22" s="5"/>
      <c r="H22" s="150"/>
      <c r="I22" s="173"/>
      <c r="J22" s="174"/>
      <c r="K22" s="30">
        <f t="shared" si="0"/>
        <v>0</v>
      </c>
      <c r="L22" s="109"/>
      <c r="M22" s="27"/>
    </row>
    <row r="23" spans="1:13" s="28" customFormat="1" ht="24.95" customHeight="1" thickTop="1" thickBot="1" x14ac:dyDescent="0.25">
      <c r="A23" s="168"/>
      <c r="B23" s="75"/>
      <c r="C23" s="21"/>
      <c r="D23" s="21"/>
      <c r="E23" s="170"/>
      <c r="F23" s="170"/>
      <c r="G23" s="5"/>
      <c r="H23" s="150"/>
      <c r="I23" s="173"/>
      <c r="J23" s="174"/>
      <c r="K23" s="30">
        <f t="shared" si="0"/>
        <v>0</v>
      </c>
      <c r="L23" s="109"/>
      <c r="M23" s="27"/>
    </row>
    <row r="24" spans="1:13" s="28" customFormat="1" ht="24.95" customHeight="1" thickTop="1" thickBot="1" x14ac:dyDescent="0.25">
      <c r="A24" s="168"/>
      <c r="B24" s="75"/>
      <c r="C24" s="21"/>
      <c r="D24" s="21"/>
      <c r="E24" s="170"/>
      <c r="F24" s="170"/>
      <c r="G24" s="5"/>
      <c r="H24" s="150"/>
      <c r="I24" s="173"/>
      <c r="J24" s="174"/>
      <c r="K24" s="30">
        <f t="shared" si="0"/>
        <v>0</v>
      </c>
      <c r="L24" s="109"/>
      <c r="M24" s="27"/>
    </row>
    <row r="25" spans="1:13" s="28" customFormat="1" ht="24.95" customHeight="1" thickTop="1" thickBot="1" x14ac:dyDescent="0.25">
      <c r="A25" s="168"/>
      <c r="B25" s="75"/>
      <c r="C25" s="21"/>
      <c r="D25" s="21"/>
      <c r="E25" s="170"/>
      <c r="F25" s="170"/>
      <c r="G25" s="5"/>
      <c r="H25" s="150"/>
      <c r="I25" s="173"/>
      <c r="J25" s="174"/>
      <c r="K25" s="30">
        <f t="shared" si="0"/>
        <v>0</v>
      </c>
      <c r="L25" s="109"/>
      <c r="M25" s="27"/>
    </row>
    <row r="26" spans="1:13" s="28" customFormat="1" ht="24.95" customHeight="1" thickTop="1" thickBot="1" x14ac:dyDescent="0.25">
      <c r="A26" s="168"/>
      <c r="B26" s="75"/>
      <c r="C26" s="21"/>
      <c r="D26" s="21"/>
      <c r="E26" s="170"/>
      <c r="F26" s="170"/>
      <c r="G26" s="5"/>
      <c r="H26" s="150"/>
      <c r="I26" s="173"/>
      <c r="J26" s="174"/>
      <c r="K26" s="30">
        <f t="shared" si="0"/>
        <v>0</v>
      </c>
      <c r="L26" s="109"/>
      <c r="M26" s="27"/>
    </row>
    <row r="27" spans="1:13" s="28" customFormat="1" ht="24.95" customHeight="1" thickTop="1" thickBot="1" x14ac:dyDescent="0.25">
      <c r="A27" s="168"/>
      <c r="B27" s="75"/>
      <c r="C27" s="21"/>
      <c r="D27" s="21"/>
      <c r="E27" s="170"/>
      <c r="F27" s="170"/>
      <c r="G27" s="5"/>
      <c r="H27" s="150"/>
      <c r="I27" s="173"/>
      <c r="J27" s="174"/>
      <c r="K27" s="30">
        <f t="shared" si="0"/>
        <v>0</v>
      </c>
      <c r="L27" s="109"/>
      <c r="M27" s="27"/>
    </row>
    <row r="28" spans="1:13" s="28" customFormat="1" ht="24.95" customHeight="1" thickTop="1" thickBot="1" x14ac:dyDescent="0.25">
      <c r="A28" s="168"/>
      <c r="B28" s="75"/>
      <c r="C28" s="21"/>
      <c r="D28" s="21"/>
      <c r="E28" s="21"/>
      <c r="F28" s="21"/>
      <c r="G28" s="5"/>
      <c r="H28" s="150"/>
      <c r="I28" s="173"/>
      <c r="J28" s="174"/>
      <c r="K28" s="30">
        <f t="shared" si="0"/>
        <v>0</v>
      </c>
      <c r="L28" s="109"/>
      <c r="M28" s="27"/>
    </row>
    <row r="29" spans="1:13" s="28" customFormat="1" ht="24.95" customHeight="1" thickTop="1" thickBot="1" x14ac:dyDescent="0.25">
      <c r="A29" s="108"/>
      <c r="B29" s="75"/>
      <c r="C29" s="21"/>
      <c r="D29" s="21"/>
      <c r="E29" s="21"/>
      <c r="F29" s="21"/>
      <c r="G29" s="5"/>
      <c r="H29" s="150"/>
      <c r="I29" s="173"/>
      <c r="J29" s="174"/>
      <c r="K29" s="30">
        <f t="shared" si="0"/>
        <v>0</v>
      </c>
      <c r="L29" s="109"/>
      <c r="M29" s="27"/>
    </row>
    <row r="30" spans="1:13" s="28" customFormat="1" ht="24.95" customHeight="1" thickTop="1" thickBot="1" x14ac:dyDescent="0.25">
      <c r="A30" s="108"/>
      <c r="B30" s="75"/>
      <c r="C30" s="21"/>
      <c r="D30" s="21"/>
      <c r="E30" s="21"/>
      <c r="F30" s="21"/>
      <c r="G30" s="5"/>
      <c r="H30" s="150"/>
      <c r="I30" s="173"/>
      <c r="J30" s="174"/>
      <c r="K30" s="30">
        <f t="shared" si="0"/>
        <v>0</v>
      </c>
      <c r="L30" s="109"/>
      <c r="M30" s="27"/>
    </row>
    <row r="31" spans="1:13" s="28" customFormat="1" ht="24.95" customHeight="1" thickTop="1" thickBot="1" x14ac:dyDescent="0.25">
      <c r="A31" s="108"/>
      <c r="B31" s="75"/>
      <c r="C31" s="21"/>
      <c r="D31" s="21"/>
      <c r="E31" s="21"/>
      <c r="F31" s="21"/>
      <c r="G31" s="5"/>
      <c r="H31" s="150"/>
      <c r="I31" s="173"/>
      <c r="J31" s="174"/>
      <c r="K31" s="30">
        <f t="shared" si="0"/>
        <v>0</v>
      </c>
      <c r="L31" s="109"/>
      <c r="M31" s="27"/>
    </row>
    <row r="32" spans="1:13" s="28" customFormat="1" ht="24.95" customHeight="1" thickTop="1" thickBot="1" x14ac:dyDescent="0.25">
      <c r="A32" s="108"/>
      <c r="B32" s="75"/>
      <c r="C32" s="21"/>
      <c r="D32" s="21"/>
      <c r="E32" s="21"/>
      <c r="F32" s="21"/>
      <c r="G32" s="5"/>
      <c r="H32" s="150"/>
      <c r="I32" s="173"/>
      <c r="J32" s="174"/>
      <c r="K32" s="30">
        <f t="shared" si="0"/>
        <v>0</v>
      </c>
      <c r="L32" s="109"/>
      <c r="M32" s="27"/>
    </row>
    <row r="33" spans="1:13" s="28" customFormat="1" ht="24.95" customHeight="1" thickTop="1" thickBot="1" x14ac:dyDescent="0.25">
      <c r="A33" s="108"/>
      <c r="B33" s="75"/>
      <c r="C33" s="21"/>
      <c r="D33" s="21"/>
      <c r="E33" s="21"/>
      <c r="F33" s="21"/>
      <c r="G33" s="5"/>
      <c r="H33" s="150"/>
      <c r="I33" s="173"/>
      <c r="J33" s="174"/>
      <c r="K33" s="30">
        <f t="shared" si="0"/>
        <v>0</v>
      </c>
      <c r="L33" s="109"/>
      <c r="M33" s="27"/>
    </row>
    <row r="34" spans="1:13" s="28" customFormat="1" ht="24.95" customHeight="1" thickTop="1" thickBot="1" x14ac:dyDescent="0.25">
      <c r="A34" s="108"/>
      <c r="B34" s="75"/>
      <c r="C34" s="21"/>
      <c r="D34" s="21"/>
      <c r="E34" s="21"/>
      <c r="F34" s="21"/>
      <c r="G34" s="5"/>
      <c r="H34" s="150"/>
      <c r="I34" s="173"/>
      <c r="J34" s="174"/>
      <c r="K34" s="30">
        <f t="shared" si="0"/>
        <v>0</v>
      </c>
      <c r="L34" s="109"/>
      <c r="M34" s="27"/>
    </row>
    <row r="35" spans="1:13" s="28" customFormat="1" ht="24.95" customHeight="1" thickTop="1" thickBot="1" x14ac:dyDescent="0.25">
      <c r="A35" s="108"/>
      <c r="B35" s="75"/>
      <c r="C35" s="21"/>
      <c r="D35" s="21"/>
      <c r="E35" s="21"/>
      <c r="F35" s="21"/>
      <c r="G35" s="5"/>
      <c r="H35" s="150"/>
      <c r="I35" s="173"/>
      <c r="J35" s="174"/>
      <c r="K35" s="30">
        <f t="shared" si="0"/>
        <v>0</v>
      </c>
      <c r="L35" s="110"/>
      <c r="M35" s="27"/>
    </row>
    <row r="36" spans="1:13" s="28" customFormat="1" ht="24.95" customHeight="1" thickTop="1" thickBot="1" x14ac:dyDescent="0.25">
      <c r="A36" s="105"/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40"/>
    </row>
    <row r="37" spans="1:13" s="60" customFormat="1" ht="39" customHeight="1" thickTop="1" thickBot="1" x14ac:dyDescent="0.25">
      <c r="A37" s="111"/>
      <c r="B37" s="250" t="s">
        <v>2</v>
      </c>
      <c r="C37" s="250"/>
      <c r="D37" s="250"/>
      <c r="E37" s="250"/>
      <c r="F37" s="250"/>
      <c r="G37" s="250"/>
      <c r="H37" s="250"/>
      <c r="I37" s="166">
        <f>SUM(I9:I35)</f>
        <v>0</v>
      </c>
      <c r="J37" s="167">
        <f>SUM(J9:J35)</f>
        <v>0</v>
      </c>
      <c r="K37" s="241">
        <f>SUM(K9:K35)</f>
        <v>0</v>
      </c>
      <c r="L37" s="242"/>
      <c r="M37" s="59"/>
    </row>
    <row r="38" spans="1:13" s="60" customFormat="1" ht="24.95" customHeight="1" thickTop="1" thickBot="1" x14ac:dyDescent="0.25">
      <c r="A38" s="111"/>
      <c r="B38" s="246" t="s">
        <v>3</v>
      </c>
      <c r="C38" s="246"/>
      <c r="D38" s="246"/>
      <c r="E38" s="246"/>
      <c r="F38" s="246"/>
      <c r="G38" s="246"/>
      <c r="H38" s="246"/>
      <c r="I38" s="246"/>
      <c r="J38" s="247"/>
      <c r="K38" s="241">
        <f>0.21*K37</f>
        <v>0</v>
      </c>
      <c r="L38" s="243"/>
      <c r="M38" s="59"/>
    </row>
    <row r="39" spans="1:13" s="60" customFormat="1" ht="24.95" customHeight="1" thickTop="1" thickBot="1" x14ac:dyDescent="0.25">
      <c r="A39" s="112"/>
      <c r="B39" s="248" t="s">
        <v>28</v>
      </c>
      <c r="C39" s="248"/>
      <c r="D39" s="248"/>
      <c r="E39" s="248"/>
      <c r="F39" s="248"/>
      <c r="G39" s="248"/>
      <c r="H39" s="248"/>
      <c r="I39" s="248"/>
      <c r="J39" s="249"/>
      <c r="K39" s="244">
        <f>SUM(K37:L38)</f>
        <v>0</v>
      </c>
      <c r="L39" s="245"/>
      <c r="M39" s="59"/>
    </row>
    <row r="40" spans="1:13" ht="13.5" hidden="1" customHeight="1" x14ac:dyDescent="0.2"/>
    <row r="41" spans="1:13" ht="12.75" hidden="1" customHeight="1" x14ac:dyDescent="0.2"/>
    <row r="42" spans="1:13" ht="12.75" hidden="1" customHeight="1" x14ac:dyDescent="0.2"/>
    <row r="43" spans="1:13" ht="12.75" hidden="1" customHeight="1" x14ac:dyDescent="0.2"/>
    <row r="44" spans="1:13" ht="12.75" hidden="1" customHeight="1" x14ac:dyDescent="0.2"/>
    <row r="45" spans="1:13" ht="12.75" hidden="1" customHeight="1" x14ac:dyDescent="0.2"/>
    <row r="46" spans="1:13" ht="12.75" hidden="1" customHeight="1" x14ac:dyDescent="0.2"/>
    <row r="47" spans="1:13" ht="12.75" hidden="1" customHeight="1" x14ac:dyDescent="0.2"/>
    <row r="48" spans="1:13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K37:L37"/>
    <mergeCell ref="K38:L38"/>
    <mergeCell ref="K39:L39"/>
    <mergeCell ref="B38:J38"/>
    <mergeCell ref="B39:J39"/>
    <mergeCell ref="B37:H37"/>
    <mergeCell ref="A5:C5"/>
    <mergeCell ref="H5:K5"/>
    <mergeCell ref="A6:L6"/>
    <mergeCell ref="B7:L7"/>
    <mergeCell ref="B36:L36"/>
    <mergeCell ref="A2:C2"/>
    <mergeCell ref="H2:K2"/>
    <mergeCell ref="A3:C3"/>
    <mergeCell ref="H3:K3"/>
    <mergeCell ref="A4:C4"/>
    <mergeCell ref="H4:K4"/>
  </mergeCells>
  <dataValidations disablePrompts="1" count="1">
    <dataValidation type="list" allowBlank="1" showInputMessage="1" showErrorMessage="1" sqref="E9:E35" xr:uid="{9962CF21-EA44-44EF-B6A4-A9955AB9693E}">
      <formula1>"SI,NO"</formula1>
    </dataValidation>
  </dataValidations>
  <hyperlinks>
    <hyperlink ref="A6:K6" location="INDICE!A1" display="LINEA 40 H" xr:uid="{48F3BF97-AE45-462B-97FB-EF6926DAAF89}"/>
    <hyperlink ref="A6:L6" location="INDEX!A1" display="DESPACHOS" xr:uid="{3D44BEB4-DBDA-4744-9505-3881FF22B30F}"/>
  </hyperlinks>
  <pageMargins left="0.25" right="0.25" top="0.75" bottom="0.75" header="0.3" footer="0.3"/>
  <pageSetup paperSize="9" scale="49" orientation="landscape" cellComments="atEnd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AB71658-41AB-4A17-8ABF-7853588EB76E}">
          <x14:formula1>
            <xm:f>BDCHOFERES!$A$2:$A$100</xm:f>
          </x14:formula1>
          <xm:sqref>A9:A35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>
    <tabColor rgb="FFFFFF00"/>
    <pageSetUpPr fitToPage="1"/>
  </sheetPr>
  <dimension ref="A1:O99"/>
  <sheetViews>
    <sheetView zoomScaleNormal="100" workbookViewId="0">
      <selection activeCell="A10" sqref="A10"/>
    </sheetView>
  </sheetViews>
  <sheetFormatPr baseColWidth="10" defaultColWidth="0" defaultRowHeight="12.75" zeroHeight="1" x14ac:dyDescent="0.2"/>
  <cols>
    <col min="1" max="1" width="17.28515625" style="24" customWidth="1"/>
    <col min="2" max="2" width="29.7109375" style="24" bestFit="1" customWidth="1"/>
    <col min="3" max="3" width="45.140625" style="24" customWidth="1"/>
    <col min="4" max="4" width="22.28515625" style="24" customWidth="1"/>
    <col min="5" max="5" width="11.5703125" style="24" customWidth="1"/>
    <col min="6" max="6" width="17.425781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94"/>
      <c r="B1" s="95"/>
      <c r="C1" s="95"/>
      <c r="D1" s="95"/>
      <c r="E1" s="95"/>
      <c r="F1" s="95"/>
      <c r="G1" s="96"/>
      <c r="H1" s="97"/>
    </row>
    <row r="2" spans="1:10" x14ac:dyDescent="0.2">
      <c r="A2" s="234"/>
      <c r="B2" s="212"/>
      <c r="C2" s="212"/>
      <c r="D2" s="22"/>
      <c r="E2" s="213"/>
      <c r="F2" s="213"/>
      <c r="G2" s="213"/>
      <c r="H2" s="98"/>
    </row>
    <row r="3" spans="1:10" x14ac:dyDescent="0.2">
      <c r="A3" s="234"/>
      <c r="B3" s="212"/>
      <c r="C3" s="212"/>
      <c r="D3" s="22"/>
      <c r="E3" s="213"/>
      <c r="F3" s="213"/>
      <c r="G3" s="213"/>
      <c r="H3" s="98"/>
    </row>
    <row r="4" spans="1:10" ht="16.5" x14ac:dyDescent="0.25">
      <c r="A4" s="235"/>
      <c r="B4" s="212"/>
      <c r="C4" s="212"/>
      <c r="D4" s="22"/>
      <c r="E4" s="213"/>
      <c r="F4" s="213"/>
      <c r="G4" s="213"/>
      <c r="H4" s="98"/>
    </row>
    <row r="5" spans="1:10" ht="17.25" thickBot="1" x14ac:dyDescent="0.3">
      <c r="A5" s="235"/>
      <c r="B5" s="212"/>
      <c r="C5" s="212"/>
      <c r="D5" s="22"/>
      <c r="E5" s="213"/>
      <c r="F5" s="213"/>
      <c r="G5" s="213"/>
      <c r="H5" s="98"/>
    </row>
    <row r="6" spans="1:10" s="25" customFormat="1" ht="28.5" customHeight="1" thickTop="1" thickBot="1" x14ac:dyDescent="0.25">
      <c r="A6" s="236" t="s">
        <v>18</v>
      </c>
      <c r="B6" s="215"/>
      <c r="C6" s="215"/>
      <c r="D6" s="215"/>
      <c r="E6" s="215"/>
      <c r="F6" s="215"/>
      <c r="G6" s="215"/>
      <c r="H6" s="237"/>
    </row>
    <row r="7" spans="1:10" s="25" customFormat="1" ht="17.25" thickTop="1" thickBot="1" x14ac:dyDescent="0.25">
      <c r="A7" s="99" t="s">
        <v>0</v>
      </c>
      <c r="B7" s="217">
        <f ca="1">TODAY()-1</f>
        <v>44892</v>
      </c>
      <c r="C7" s="218"/>
      <c r="D7" s="218"/>
      <c r="E7" s="218"/>
      <c r="F7" s="218"/>
      <c r="G7" s="218"/>
      <c r="H7" s="238"/>
    </row>
    <row r="8" spans="1:10" s="25" customFormat="1" ht="17.25" thickTop="1" thickBot="1" x14ac:dyDescent="0.25">
      <c r="A8" s="100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101" t="s">
        <v>21</v>
      </c>
      <c r="J8" s="26"/>
    </row>
    <row r="9" spans="1:10" s="40" customFormat="1" ht="15" customHeight="1" thickTop="1" thickBot="1" x14ac:dyDescent="0.25">
      <c r="A9" s="102"/>
      <c r="B9" s="75"/>
      <c r="C9" s="36"/>
      <c r="D9" s="35"/>
      <c r="E9" s="37"/>
      <c r="F9" s="56"/>
      <c r="G9" s="38">
        <f>SUM(F9)</f>
        <v>0</v>
      </c>
      <c r="H9" s="103"/>
      <c r="I9" s="39"/>
    </row>
    <row r="10" spans="1:10" s="40" customFormat="1" ht="15" customHeight="1" thickTop="1" thickBot="1" x14ac:dyDescent="0.25">
      <c r="A10" s="102"/>
      <c r="B10" s="75"/>
      <c r="C10" s="36"/>
      <c r="D10" s="41"/>
      <c r="E10" s="37"/>
      <c r="F10" s="57"/>
      <c r="G10" s="38">
        <f t="shared" ref="G10:G35" si="0">SUM(F10)</f>
        <v>0</v>
      </c>
      <c r="H10" s="103"/>
      <c r="I10" s="39"/>
    </row>
    <row r="11" spans="1:10" s="40" customFormat="1" ht="15" customHeight="1" thickTop="1" thickBot="1" x14ac:dyDescent="0.25">
      <c r="A11" s="102"/>
      <c r="B11" s="75"/>
      <c r="C11" s="36"/>
      <c r="D11" s="41"/>
      <c r="E11" s="37"/>
      <c r="F11" s="57"/>
      <c r="G11" s="38">
        <f t="shared" si="0"/>
        <v>0</v>
      </c>
      <c r="H11" s="103"/>
      <c r="I11" s="39"/>
    </row>
    <row r="12" spans="1:10" s="40" customFormat="1" ht="15" customHeight="1" thickTop="1" thickBot="1" x14ac:dyDescent="0.25">
      <c r="A12" s="102"/>
      <c r="B12" s="75"/>
      <c r="C12" s="36"/>
      <c r="D12" s="41"/>
      <c r="E12" s="37"/>
      <c r="F12" s="57"/>
      <c r="G12" s="38">
        <f t="shared" si="0"/>
        <v>0</v>
      </c>
      <c r="H12" s="103"/>
      <c r="I12" s="39"/>
    </row>
    <row r="13" spans="1:10" s="40" customFormat="1" ht="15" customHeight="1" thickTop="1" thickBot="1" x14ac:dyDescent="0.25">
      <c r="A13" s="102"/>
      <c r="B13" s="75"/>
      <c r="C13" s="36"/>
      <c r="D13" s="41"/>
      <c r="E13" s="37"/>
      <c r="F13" s="57"/>
      <c r="G13" s="38">
        <f t="shared" si="0"/>
        <v>0</v>
      </c>
      <c r="H13" s="103"/>
      <c r="I13" s="39"/>
    </row>
    <row r="14" spans="1:10" s="40" customFormat="1" ht="15" customHeight="1" thickTop="1" thickBot="1" x14ac:dyDescent="0.25">
      <c r="A14" s="102"/>
      <c r="B14" s="75"/>
      <c r="C14" s="36"/>
      <c r="D14" s="41"/>
      <c r="E14" s="37"/>
      <c r="F14" s="57"/>
      <c r="G14" s="38">
        <f t="shared" si="0"/>
        <v>0</v>
      </c>
      <c r="H14" s="103"/>
      <c r="I14" s="39"/>
    </row>
    <row r="15" spans="1:10" s="40" customFormat="1" ht="15" customHeight="1" thickTop="1" thickBot="1" x14ac:dyDescent="0.25">
      <c r="A15" s="102"/>
      <c r="B15" s="75"/>
      <c r="C15" s="36"/>
      <c r="D15" s="41"/>
      <c r="E15" s="37"/>
      <c r="F15" s="57"/>
      <c r="G15" s="38">
        <f t="shared" si="0"/>
        <v>0</v>
      </c>
      <c r="H15" s="103"/>
      <c r="I15" s="39"/>
    </row>
    <row r="16" spans="1:10" s="40" customFormat="1" ht="15" customHeight="1" thickTop="1" thickBot="1" x14ac:dyDescent="0.25">
      <c r="A16" s="102"/>
      <c r="B16" s="75"/>
      <c r="C16" s="36"/>
      <c r="D16" s="41"/>
      <c r="E16" s="37"/>
      <c r="F16" s="57"/>
      <c r="G16" s="38">
        <f t="shared" si="0"/>
        <v>0</v>
      </c>
      <c r="H16" s="103"/>
      <c r="I16" s="39"/>
    </row>
    <row r="17" spans="1:9" s="40" customFormat="1" ht="15" customHeight="1" thickTop="1" thickBot="1" x14ac:dyDescent="0.25">
      <c r="A17" s="102"/>
      <c r="B17" s="75"/>
      <c r="C17" s="36"/>
      <c r="D17" s="41"/>
      <c r="E17" s="37"/>
      <c r="F17" s="57"/>
      <c r="G17" s="38">
        <f t="shared" si="0"/>
        <v>0</v>
      </c>
      <c r="H17" s="103"/>
      <c r="I17" s="39"/>
    </row>
    <row r="18" spans="1:9" s="40" customFormat="1" ht="15" customHeight="1" thickTop="1" thickBot="1" x14ac:dyDescent="0.25">
      <c r="A18" s="102"/>
      <c r="B18" s="75"/>
      <c r="C18" s="36"/>
      <c r="D18" s="41"/>
      <c r="E18" s="37"/>
      <c r="F18" s="57"/>
      <c r="G18" s="38">
        <f t="shared" si="0"/>
        <v>0</v>
      </c>
      <c r="H18" s="103"/>
      <c r="I18" s="39"/>
    </row>
    <row r="19" spans="1:9" s="40" customFormat="1" ht="15" customHeight="1" thickTop="1" thickBot="1" x14ac:dyDescent="0.25">
      <c r="A19" s="102"/>
      <c r="B19" s="75"/>
      <c r="C19" s="36"/>
      <c r="D19" s="41"/>
      <c r="E19" s="37"/>
      <c r="F19" s="57"/>
      <c r="G19" s="38">
        <f t="shared" si="0"/>
        <v>0</v>
      </c>
      <c r="H19" s="103"/>
      <c r="I19" s="39"/>
    </row>
    <row r="20" spans="1:9" s="40" customFormat="1" ht="15" customHeight="1" thickTop="1" thickBot="1" x14ac:dyDescent="0.25">
      <c r="A20" s="102"/>
      <c r="B20" s="75"/>
      <c r="C20" s="36"/>
      <c r="D20" s="41"/>
      <c r="E20" s="37"/>
      <c r="F20" s="57"/>
      <c r="G20" s="38">
        <f t="shared" si="0"/>
        <v>0</v>
      </c>
      <c r="H20" s="103"/>
      <c r="I20" s="39"/>
    </row>
    <row r="21" spans="1:9" s="40" customFormat="1" ht="15" customHeight="1" thickTop="1" thickBot="1" x14ac:dyDescent="0.25">
      <c r="A21" s="102"/>
      <c r="B21" s="75"/>
      <c r="C21" s="36"/>
      <c r="D21" s="35"/>
      <c r="E21" s="37"/>
      <c r="F21" s="57"/>
      <c r="G21" s="38">
        <f t="shared" si="0"/>
        <v>0</v>
      </c>
      <c r="H21" s="103"/>
      <c r="I21" s="39"/>
    </row>
    <row r="22" spans="1:9" s="40" customFormat="1" ht="15" customHeight="1" thickTop="1" thickBot="1" x14ac:dyDescent="0.25">
      <c r="A22" s="102"/>
      <c r="B22" s="75"/>
      <c r="C22" s="36"/>
      <c r="D22" s="42"/>
      <c r="E22" s="37"/>
      <c r="F22" s="57"/>
      <c r="G22" s="38">
        <f t="shared" si="0"/>
        <v>0</v>
      </c>
      <c r="H22" s="103"/>
      <c r="I22" s="39"/>
    </row>
    <row r="23" spans="1:9" s="40" customFormat="1" ht="15" customHeight="1" thickTop="1" thickBot="1" x14ac:dyDescent="0.25">
      <c r="A23" s="102"/>
      <c r="B23" s="75"/>
      <c r="C23" s="36"/>
      <c r="D23" s="41"/>
      <c r="E23" s="37"/>
      <c r="F23" s="57"/>
      <c r="G23" s="38">
        <f t="shared" si="0"/>
        <v>0</v>
      </c>
      <c r="H23" s="103"/>
      <c r="I23" s="39"/>
    </row>
    <row r="24" spans="1:9" s="40" customFormat="1" ht="15" customHeight="1" thickTop="1" thickBot="1" x14ac:dyDescent="0.25">
      <c r="A24" s="102"/>
      <c r="B24" s="75"/>
      <c r="C24" s="36"/>
      <c r="D24" s="41"/>
      <c r="E24" s="37"/>
      <c r="F24" s="57"/>
      <c r="G24" s="38">
        <f t="shared" si="0"/>
        <v>0</v>
      </c>
      <c r="H24" s="103"/>
      <c r="I24" s="39"/>
    </row>
    <row r="25" spans="1:9" s="40" customFormat="1" ht="15" customHeight="1" thickTop="1" thickBot="1" x14ac:dyDescent="0.25">
      <c r="A25" s="102"/>
      <c r="B25" s="75"/>
      <c r="C25" s="36"/>
      <c r="D25" s="41"/>
      <c r="E25" s="37"/>
      <c r="F25" s="57"/>
      <c r="G25" s="38">
        <f t="shared" si="0"/>
        <v>0</v>
      </c>
      <c r="H25" s="103"/>
      <c r="I25" s="39"/>
    </row>
    <row r="26" spans="1:9" s="40" customFormat="1" ht="15" customHeight="1" thickTop="1" thickBot="1" x14ac:dyDescent="0.25">
      <c r="A26" s="102"/>
      <c r="B26" s="75"/>
      <c r="C26" s="36"/>
      <c r="D26" s="41"/>
      <c r="E26" s="37"/>
      <c r="F26" s="57"/>
      <c r="G26" s="38">
        <f t="shared" si="0"/>
        <v>0</v>
      </c>
      <c r="H26" s="103"/>
      <c r="I26" s="39"/>
    </row>
    <row r="27" spans="1:9" s="40" customFormat="1" ht="15" customHeight="1" thickTop="1" thickBot="1" x14ac:dyDescent="0.25">
      <c r="A27" s="102"/>
      <c r="B27" s="75"/>
      <c r="C27" s="36"/>
      <c r="D27" s="41"/>
      <c r="E27" s="37"/>
      <c r="F27" s="57"/>
      <c r="G27" s="38">
        <f t="shared" si="0"/>
        <v>0</v>
      </c>
      <c r="H27" s="103"/>
      <c r="I27" s="39"/>
    </row>
    <row r="28" spans="1:9" s="40" customFormat="1" ht="15" customHeight="1" thickTop="1" thickBot="1" x14ac:dyDescent="0.25">
      <c r="A28" s="102"/>
      <c r="B28" s="75"/>
      <c r="C28" s="36"/>
      <c r="D28" s="41"/>
      <c r="E28" s="37"/>
      <c r="F28" s="57"/>
      <c r="G28" s="38">
        <f t="shared" si="0"/>
        <v>0</v>
      </c>
      <c r="H28" s="103"/>
      <c r="I28" s="39"/>
    </row>
    <row r="29" spans="1:9" s="40" customFormat="1" ht="15" customHeight="1" thickTop="1" thickBot="1" x14ac:dyDescent="0.25">
      <c r="A29" s="102"/>
      <c r="B29" s="75"/>
      <c r="C29" s="36"/>
      <c r="D29" s="41"/>
      <c r="E29" s="37"/>
      <c r="F29" s="57"/>
      <c r="G29" s="38">
        <f t="shared" si="0"/>
        <v>0</v>
      </c>
      <c r="H29" s="103"/>
      <c r="I29" s="39"/>
    </row>
    <row r="30" spans="1:9" s="40" customFormat="1" ht="15" customHeight="1" thickTop="1" thickBot="1" x14ac:dyDescent="0.25">
      <c r="A30" s="102"/>
      <c r="B30" s="75"/>
      <c r="C30" s="36"/>
      <c r="D30" s="41"/>
      <c r="E30" s="37"/>
      <c r="F30" s="57"/>
      <c r="G30" s="38">
        <f t="shared" si="0"/>
        <v>0</v>
      </c>
      <c r="H30" s="103"/>
      <c r="I30" s="39"/>
    </row>
    <row r="31" spans="1:9" s="40" customFormat="1" ht="15" customHeight="1" thickTop="1" thickBot="1" x14ac:dyDescent="0.25">
      <c r="A31" s="102"/>
      <c r="B31" s="75"/>
      <c r="C31" s="36"/>
      <c r="D31" s="41"/>
      <c r="E31" s="37"/>
      <c r="F31" s="57"/>
      <c r="G31" s="38">
        <f t="shared" si="0"/>
        <v>0</v>
      </c>
      <c r="H31" s="103"/>
      <c r="I31" s="39"/>
    </row>
    <row r="32" spans="1:9" s="40" customFormat="1" ht="15" customHeight="1" thickTop="1" thickBot="1" x14ac:dyDescent="0.25">
      <c r="A32" s="102"/>
      <c r="B32" s="75"/>
      <c r="C32" s="36"/>
      <c r="D32" s="41"/>
      <c r="E32" s="37"/>
      <c r="F32" s="57"/>
      <c r="G32" s="38">
        <f t="shared" si="0"/>
        <v>0</v>
      </c>
      <c r="H32" s="103"/>
      <c r="I32" s="39"/>
    </row>
    <row r="33" spans="1:9" s="40" customFormat="1" ht="15" customHeight="1" thickTop="1" thickBot="1" x14ac:dyDescent="0.25">
      <c r="A33" s="102"/>
      <c r="B33" s="75"/>
      <c r="C33" s="36"/>
      <c r="D33" s="41"/>
      <c r="E33" s="37"/>
      <c r="F33" s="57"/>
      <c r="G33" s="38">
        <f t="shared" si="0"/>
        <v>0</v>
      </c>
      <c r="H33" s="103"/>
      <c r="I33" s="39"/>
    </row>
    <row r="34" spans="1:9" s="40" customFormat="1" ht="15" customHeight="1" thickTop="1" thickBot="1" x14ac:dyDescent="0.25">
      <c r="A34" s="102"/>
      <c r="B34" s="75"/>
      <c r="C34" s="36"/>
      <c r="D34" s="41"/>
      <c r="E34" s="37"/>
      <c r="F34" s="57"/>
      <c r="G34" s="38">
        <f t="shared" si="0"/>
        <v>0</v>
      </c>
      <c r="H34" s="103"/>
      <c r="I34" s="39"/>
    </row>
    <row r="35" spans="1:9" s="40" customFormat="1" ht="15" customHeight="1" thickTop="1" thickBot="1" x14ac:dyDescent="0.25">
      <c r="A35" s="102"/>
      <c r="B35" s="75"/>
      <c r="C35" s="36"/>
      <c r="D35" s="41"/>
      <c r="E35" s="44"/>
      <c r="F35" s="58"/>
      <c r="G35" s="38">
        <f t="shared" si="0"/>
        <v>0</v>
      </c>
      <c r="H35" s="104"/>
      <c r="I35" s="39"/>
    </row>
    <row r="36" spans="1:9" ht="18" customHeight="1" thickTop="1" thickBot="1" x14ac:dyDescent="0.25">
      <c r="A36" s="105"/>
      <c r="B36" s="239"/>
      <c r="C36" s="239"/>
      <c r="D36" s="239"/>
      <c r="E36" s="239"/>
      <c r="F36" s="239"/>
      <c r="G36" s="239"/>
      <c r="H36" s="240"/>
    </row>
    <row r="37" spans="1:9" s="60" customFormat="1" ht="20.100000000000001" customHeight="1" thickTop="1" thickBot="1" x14ac:dyDescent="0.25">
      <c r="A37" s="106"/>
      <c r="B37" s="224" t="s">
        <v>2</v>
      </c>
      <c r="C37" s="224"/>
      <c r="D37" s="224"/>
      <c r="E37" s="224"/>
      <c r="F37" s="225"/>
      <c r="G37" s="226">
        <f>SUM(G10:G35)</f>
        <v>0</v>
      </c>
      <c r="H37" s="251"/>
      <c r="I37" s="59"/>
    </row>
    <row r="38" spans="1:9" s="60" customFormat="1" ht="20.100000000000001" customHeight="1" thickTop="1" thickBot="1" x14ac:dyDescent="0.25">
      <c r="A38" s="106"/>
      <c r="B38" s="224" t="s">
        <v>3</v>
      </c>
      <c r="C38" s="224"/>
      <c r="D38" s="224"/>
      <c r="E38" s="224"/>
      <c r="F38" s="225"/>
      <c r="G38" s="226">
        <f>0.21*G37</f>
        <v>0</v>
      </c>
      <c r="H38" s="251"/>
      <c r="I38" s="59"/>
    </row>
    <row r="39" spans="1:9" s="60" customFormat="1" ht="20.100000000000001" customHeight="1" thickTop="1" thickBot="1" x14ac:dyDescent="0.25">
      <c r="A39" s="107"/>
      <c r="B39" s="252" t="s">
        <v>28</v>
      </c>
      <c r="C39" s="252"/>
      <c r="D39" s="252"/>
      <c r="E39" s="252"/>
      <c r="F39" s="253"/>
      <c r="G39" s="254">
        <f>SUM(G37:H38)</f>
        <v>0</v>
      </c>
      <c r="H39" s="255"/>
      <c r="I39" s="59"/>
    </row>
    <row r="40" spans="1:9" ht="13.5" hidden="1" customHeight="1" thickTop="1" x14ac:dyDescent="0.2"/>
    <row r="41" spans="1:9" ht="12.75" hidden="1" customHeight="1" x14ac:dyDescent="0.2"/>
    <row r="42" spans="1:9" ht="12.75" hidden="1" customHeight="1" x14ac:dyDescent="0.2"/>
    <row r="43" spans="1:9" ht="12.75" hidden="1" customHeight="1" x14ac:dyDescent="0.2"/>
    <row r="44" spans="1:9" ht="12.75" hidden="1" customHeight="1" x14ac:dyDescent="0.2"/>
    <row r="45" spans="1:9" ht="12.75" hidden="1" customHeight="1" x14ac:dyDescent="0.2"/>
    <row r="46" spans="1:9" ht="12.75" hidden="1" customHeight="1" x14ac:dyDescent="0.2"/>
    <row r="47" spans="1:9" ht="12.75" hidden="1" customHeight="1" x14ac:dyDescent="0.2"/>
    <row r="48" spans="1:9" ht="12.75" hidden="1" customHeight="1" x14ac:dyDescent="0.2"/>
    <row r="49" ht="12.75" hidden="1" customHeight="1" x14ac:dyDescent="0.2"/>
    <row r="50" ht="12.75" hidden="1" customHeight="1" x14ac:dyDescent="0.2"/>
    <row r="51" ht="12.75" hidden="1" customHeight="1" x14ac:dyDescent="0.2"/>
    <row r="52" ht="12.75" hidden="1" customHeight="1" x14ac:dyDescent="0.2"/>
    <row r="53" ht="12.75" hidden="1" customHeight="1" x14ac:dyDescent="0.2"/>
    <row r="54" ht="12.75" hidden="1" customHeight="1" x14ac:dyDescent="0.2"/>
    <row r="55" ht="12.75" hidden="1" customHeight="1" x14ac:dyDescent="0.2"/>
    <row r="56" ht="12.75" hidden="1" customHeight="1" x14ac:dyDescent="0.2"/>
    <row r="57" ht="12.75" hidden="1" customHeight="1" x14ac:dyDescent="0.2"/>
    <row r="58" ht="12.75" hidden="1" customHeight="1" x14ac:dyDescent="0.2"/>
    <row r="59" ht="12.75" hidden="1" customHeight="1" x14ac:dyDescent="0.2"/>
    <row r="60" ht="12.75" hidden="1" customHeight="1" x14ac:dyDescent="0.2"/>
    <row r="61" ht="12.75" hidden="1" customHeight="1" x14ac:dyDescent="0.2"/>
    <row r="62" ht="12.75" hidden="1" customHeight="1" x14ac:dyDescent="0.2"/>
    <row r="63" ht="12.75" hidden="1" customHeight="1" x14ac:dyDescent="0.2"/>
    <row r="64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  <row r="72" ht="12.75" hidden="1" customHeight="1" x14ac:dyDescent="0.2"/>
    <row r="73" ht="12.75" hidden="1" customHeight="1" x14ac:dyDescent="0.2"/>
    <row r="74" ht="12.75" hidden="1" customHeight="1" x14ac:dyDescent="0.2"/>
    <row r="75" ht="12.75" hidden="1" customHeight="1" x14ac:dyDescent="0.2"/>
    <row r="76" ht="12.75" hidden="1" customHeight="1" x14ac:dyDescent="0.2"/>
    <row r="77" ht="12.75" hidden="1" customHeight="1" x14ac:dyDescent="0.2"/>
    <row r="78" ht="12.75" hidden="1" customHeight="1" x14ac:dyDescent="0.2"/>
    <row r="79" ht="12.75" hidden="1" customHeight="1" x14ac:dyDescent="0.2"/>
    <row r="8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3.5" hidden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G38:H38"/>
    <mergeCell ref="B36:H36"/>
    <mergeCell ref="B37:F37"/>
    <mergeCell ref="B38:F38"/>
    <mergeCell ref="B39:F39"/>
    <mergeCell ref="G39:H39"/>
    <mergeCell ref="E2:G2"/>
    <mergeCell ref="A3:C3"/>
    <mergeCell ref="E3:G3"/>
    <mergeCell ref="A4:C4"/>
    <mergeCell ref="E4:G4"/>
    <mergeCell ref="A2:C2"/>
    <mergeCell ref="E5:G5"/>
    <mergeCell ref="A5:C5"/>
    <mergeCell ref="A6:H6"/>
    <mergeCell ref="B7:H7"/>
    <mergeCell ref="G37:H37"/>
  </mergeCells>
  <hyperlinks>
    <hyperlink ref="A6:G6" location="INDICE!A1" display="LINEA 40 H" xr:uid="{00000000-0004-0000-1800-000002000000}"/>
    <hyperlink ref="A6:H6" location="INDEX!A1" display="INSUMOS" xr:uid="{62401EC5-7A34-40C5-852F-710BA79911DF}"/>
  </hyperlinks>
  <pageMargins left="0" right="0" top="0.51181102362204722" bottom="0.15748031496062992" header="0" footer="0"/>
  <pageSetup paperSize="9" scale="65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31A752-97DE-4FDD-8406-BAED1B268AC3}">
          <x14:formula1>
            <xm:f>BDCHOFERES!$A$2:$A$50</xm:f>
          </x14:formula1>
          <xm:sqref>A9:A35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49E77-FBC2-4CD6-8793-67BAD002B4CE}">
  <sheetPr codeName="Hoja29">
    <tabColor rgb="FFFFFF00"/>
    <pageSetUpPr fitToPage="1"/>
  </sheetPr>
  <dimension ref="A1:O99"/>
  <sheetViews>
    <sheetView zoomScale="90" zoomScaleNormal="90" workbookViewId="0">
      <selection activeCell="A6" sqref="A6:H6"/>
    </sheetView>
  </sheetViews>
  <sheetFormatPr baseColWidth="10" defaultColWidth="0" defaultRowHeight="12.75" zeroHeight="1" x14ac:dyDescent="0.2"/>
  <cols>
    <col min="1" max="1" width="18.85546875" style="24" customWidth="1"/>
    <col min="2" max="2" width="29.7109375" style="24" bestFit="1" customWidth="1"/>
    <col min="3" max="3" width="45.140625" style="24" customWidth="1"/>
    <col min="4" max="4" width="27" style="24" customWidth="1"/>
    <col min="5" max="5" width="17.8554687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56"/>
      <c r="F5" s="256"/>
      <c r="G5" s="256"/>
      <c r="H5" s="1"/>
    </row>
    <row r="6" spans="1:10" s="25" customFormat="1" ht="28.5" customHeight="1" thickTop="1" thickBot="1" x14ac:dyDescent="0.25">
      <c r="A6" s="257" t="s">
        <v>8</v>
      </c>
      <c r="B6" s="258"/>
      <c r="C6" s="258"/>
      <c r="D6" s="258"/>
      <c r="E6" s="258"/>
      <c r="F6" s="258"/>
      <c r="G6" s="258"/>
      <c r="H6" s="258"/>
    </row>
    <row r="7" spans="1:10" s="25" customFormat="1" ht="17.25" thickTop="1" thickBot="1" x14ac:dyDescent="0.25">
      <c r="A7" s="23" t="s">
        <v>0</v>
      </c>
      <c r="B7" s="259">
        <v>44854</v>
      </c>
      <c r="C7" s="260"/>
      <c r="D7" s="260"/>
      <c r="E7" s="260"/>
      <c r="F7" s="260"/>
      <c r="G7" s="260"/>
      <c r="H7" s="261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4</v>
      </c>
      <c r="H8" s="52" t="s">
        <v>21</v>
      </c>
      <c r="J8" s="26"/>
    </row>
    <row r="9" spans="1:10" s="40" customFormat="1" ht="15" customHeight="1" thickTop="1" thickBot="1" x14ac:dyDescent="0.25">
      <c r="A9" s="35"/>
      <c r="B9" s="75"/>
      <c r="C9" s="36"/>
      <c r="D9" s="35"/>
      <c r="E9" s="37"/>
      <c r="F9" s="53"/>
      <c r="G9" s="38">
        <f>SUM(F9)</f>
        <v>0</v>
      </c>
      <c r="H9" s="38"/>
      <c r="I9" s="39"/>
    </row>
    <row r="10" spans="1:10" s="40" customFormat="1" ht="15" customHeight="1" thickTop="1" thickBot="1" x14ac:dyDescent="0.25">
      <c r="A10" s="35"/>
      <c r="B10" s="75"/>
      <c r="C10" s="36"/>
      <c r="D10" s="35"/>
      <c r="E10" s="37"/>
      <c r="F10" s="53"/>
      <c r="G10" s="38">
        <f t="shared" ref="G10:G35" si="0">SUM(F10)</f>
        <v>0</v>
      </c>
      <c r="H10" s="38"/>
      <c r="I10" s="39"/>
    </row>
    <row r="11" spans="1:10" s="40" customFormat="1" ht="15" customHeight="1" thickTop="1" thickBot="1" x14ac:dyDescent="0.25">
      <c r="A11" s="35"/>
      <c r="B11" s="75"/>
      <c r="C11" s="36"/>
      <c r="D11" s="35"/>
      <c r="E11" s="37"/>
      <c r="F11" s="53"/>
      <c r="G11" s="38">
        <f t="shared" si="0"/>
        <v>0</v>
      </c>
      <c r="H11" s="38"/>
      <c r="I11" s="39"/>
    </row>
    <row r="12" spans="1:10" s="40" customFormat="1" ht="15" customHeight="1" thickTop="1" thickBot="1" x14ac:dyDescent="0.25">
      <c r="A12" s="35"/>
      <c r="B12" s="75"/>
      <c r="C12" s="36"/>
      <c r="D12" s="35"/>
      <c r="E12" s="37"/>
      <c r="F12" s="53"/>
      <c r="G12" s="38">
        <f t="shared" si="0"/>
        <v>0</v>
      </c>
      <c r="H12" s="38"/>
      <c r="I12" s="39"/>
    </row>
    <row r="13" spans="1:10" s="40" customFormat="1" ht="15" customHeight="1" thickTop="1" thickBot="1" x14ac:dyDescent="0.25">
      <c r="A13" s="35"/>
      <c r="B13" s="75"/>
      <c r="C13" s="36"/>
      <c r="D13" s="35"/>
      <c r="E13" s="37"/>
      <c r="F13" s="53"/>
      <c r="G13" s="38">
        <f t="shared" si="0"/>
        <v>0</v>
      </c>
      <c r="H13" s="38"/>
      <c r="I13" s="39"/>
    </row>
    <row r="14" spans="1:10" s="40" customFormat="1" ht="15" customHeight="1" thickTop="1" thickBot="1" x14ac:dyDescent="0.25">
      <c r="A14" s="35"/>
      <c r="B14" s="75"/>
      <c r="C14" s="36"/>
      <c r="D14" s="35"/>
      <c r="E14" s="37"/>
      <c r="F14" s="53"/>
      <c r="G14" s="38">
        <f t="shared" si="0"/>
        <v>0</v>
      </c>
      <c r="H14" s="38"/>
      <c r="I14" s="39"/>
    </row>
    <row r="15" spans="1:10" s="40" customFormat="1" ht="15" customHeight="1" thickTop="1" thickBot="1" x14ac:dyDescent="0.25">
      <c r="A15" s="35"/>
      <c r="B15" s="75"/>
      <c r="C15" s="36"/>
      <c r="D15" s="35"/>
      <c r="E15" s="37"/>
      <c r="F15" s="53"/>
      <c r="G15" s="38">
        <f t="shared" si="0"/>
        <v>0</v>
      </c>
      <c r="H15" s="38"/>
      <c r="I15" s="39"/>
    </row>
    <row r="16" spans="1:10" s="40" customFormat="1" ht="15" customHeight="1" thickTop="1" thickBot="1" x14ac:dyDescent="0.25">
      <c r="A16" s="35"/>
      <c r="B16" s="75"/>
      <c r="C16" s="36"/>
      <c r="D16" s="35"/>
      <c r="E16" s="37"/>
      <c r="F16" s="53"/>
      <c r="G16" s="38">
        <f t="shared" si="0"/>
        <v>0</v>
      </c>
      <c r="H16" s="38"/>
      <c r="I16" s="39"/>
    </row>
    <row r="17" spans="1:9" s="40" customFormat="1" ht="15" customHeight="1" thickTop="1" thickBot="1" x14ac:dyDescent="0.25">
      <c r="A17" s="35"/>
      <c r="B17" s="75"/>
      <c r="C17" s="36"/>
      <c r="D17" s="35"/>
      <c r="E17" s="37"/>
      <c r="F17" s="53"/>
      <c r="G17" s="38">
        <f t="shared" si="0"/>
        <v>0</v>
      </c>
      <c r="H17" s="38"/>
      <c r="I17" s="39"/>
    </row>
    <row r="18" spans="1:9" s="40" customFormat="1" ht="15" customHeight="1" thickTop="1" thickBot="1" x14ac:dyDescent="0.25">
      <c r="A18" s="35"/>
      <c r="B18" s="75"/>
      <c r="C18" s="36"/>
      <c r="D18" s="35"/>
      <c r="E18" s="37"/>
      <c r="F18" s="53"/>
      <c r="G18" s="38">
        <f t="shared" si="0"/>
        <v>0</v>
      </c>
      <c r="H18" s="38"/>
      <c r="I18" s="39"/>
    </row>
    <row r="19" spans="1:9" s="40" customFormat="1" ht="15" customHeight="1" thickTop="1" thickBot="1" x14ac:dyDescent="0.25">
      <c r="A19" s="35"/>
      <c r="B19" s="75"/>
      <c r="C19" s="36"/>
      <c r="D19" s="35"/>
      <c r="E19" s="37"/>
      <c r="F19" s="53"/>
      <c r="G19" s="38">
        <f t="shared" si="0"/>
        <v>0</v>
      </c>
      <c r="H19" s="38"/>
      <c r="I19" s="39"/>
    </row>
    <row r="20" spans="1:9" s="40" customFormat="1" ht="15" customHeight="1" thickTop="1" thickBot="1" x14ac:dyDescent="0.25">
      <c r="A20" s="35"/>
      <c r="B20" s="75"/>
      <c r="C20" s="36"/>
      <c r="D20" s="35"/>
      <c r="E20" s="37"/>
      <c r="F20" s="53"/>
      <c r="G20" s="38">
        <f t="shared" si="0"/>
        <v>0</v>
      </c>
      <c r="H20" s="38"/>
      <c r="I20" s="39"/>
    </row>
    <row r="21" spans="1:9" s="40" customFormat="1" ht="15" customHeight="1" thickTop="1" thickBot="1" x14ac:dyDescent="0.25">
      <c r="A21" s="35"/>
      <c r="B21" s="75"/>
      <c r="C21" s="36"/>
      <c r="D21" s="35"/>
      <c r="E21" s="37"/>
      <c r="F21" s="53"/>
      <c r="G21" s="38">
        <f t="shared" si="0"/>
        <v>0</v>
      </c>
      <c r="H21" s="38"/>
      <c r="I21" s="39"/>
    </row>
    <row r="22" spans="1:9" s="40" customFormat="1" ht="15" customHeight="1" thickTop="1" thickBot="1" x14ac:dyDescent="0.25">
      <c r="A22" s="35"/>
      <c r="B22" s="75"/>
      <c r="C22" s="36"/>
      <c r="D22" s="35"/>
      <c r="E22" s="37"/>
      <c r="F22" s="53"/>
      <c r="G22" s="38">
        <f t="shared" si="0"/>
        <v>0</v>
      </c>
      <c r="H22" s="38"/>
      <c r="I22" s="39"/>
    </row>
    <row r="23" spans="1:9" s="40" customFormat="1" ht="15" customHeight="1" thickTop="1" thickBot="1" x14ac:dyDescent="0.25">
      <c r="A23" s="35"/>
      <c r="B23" s="75"/>
      <c r="C23" s="36"/>
      <c r="D23" s="35"/>
      <c r="E23" s="37"/>
      <c r="F23" s="53"/>
      <c r="G23" s="38">
        <f t="shared" si="0"/>
        <v>0</v>
      </c>
      <c r="H23" s="38"/>
      <c r="I23" s="39"/>
    </row>
    <row r="24" spans="1:9" s="40" customFormat="1" ht="15" customHeight="1" thickTop="1" thickBot="1" x14ac:dyDescent="0.25">
      <c r="A24" s="35"/>
      <c r="B24" s="75"/>
      <c r="C24" s="36"/>
      <c r="D24" s="41"/>
      <c r="E24" s="37"/>
      <c r="F24" s="54"/>
      <c r="G24" s="38">
        <f t="shared" si="0"/>
        <v>0</v>
      </c>
      <c r="H24" s="38"/>
      <c r="I24" s="39"/>
    </row>
    <row r="25" spans="1:9" s="40" customFormat="1" ht="15" customHeight="1" thickTop="1" thickBot="1" x14ac:dyDescent="0.25">
      <c r="A25" s="35"/>
      <c r="B25" s="75"/>
      <c r="C25" s="36"/>
      <c r="D25" s="41"/>
      <c r="E25" s="37"/>
      <c r="F25" s="54"/>
      <c r="G25" s="38">
        <f t="shared" si="0"/>
        <v>0</v>
      </c>
      <c r="H25" s="38"/>
      <c r="I25" s="39"/>
    </row>
    <row r="26" spans="1:9" s="40" customFormat="1" ht="15" customHeight="1" thickTop="1" thickBot="1" x14ac:dyDescent="0.25">
      <c r="A26" s="35"/>
      <c r="B26" s="75"/>
      <c r="C26" s="36"/>
      <c r="D26" s="41"/>
      <c r="E26" s="37"/>
      <c r="F26" s="54"/>
      <c r="G26" s="38">
        <f t="shared" si="0"/>
        <v>0</v>
      </c>
      <c r="H26" s="38"/>
      <c r="I26" s="39"/>
    </row>
    <row r="27" spans="1:9" s="40" customFormat="1" ht="15" customHeight="1" thickTop="1" thickBot="1" x14ac:dyDescent="0.25">
      <c r="A27" s="35"/>
      <c r="B27" s="75"/>
      <c r="C27" s="36"/>
      <c r="D27" s="41"/>
      <c r="E27" s="37"/>
      <c r="F27" s="54"/>
      <c r="G27" s="38">
        <f t="shared" si="0"/>
        <v>0</v>
      </c>
      <c r="H27" s="38"/>
      <c r="I27" s="39"/>
    </row>
    <row r="28" spans="1:9" s="40" customFormat="1" ht="15" customHeight="1" thickTop="1" thickBot="1" x14ac:dyDescent="0.25">
      <c r="A28" s="35"/>
      <c r="B28" s="75"/>
      <c r="C28" s="36"/>
      <c r="D28" s="41"/>
      <c r="E28" s="37"/>
      <c r="F28" s="54"/>
      <c r="G28" s="38">
        <f t="shared" si="0"/>
        <v>0</v>
      </c>
      <c r="H28" s="38"/>
      <c r="I28" s="39"/>
    </row>
    <row r="29" spans="1:9" s="40" customFormat="1" ht="15" customHeight="1" thickTop="1" thickBot="1" x14ac:dyDescent="0.25">
      <c r="A29" s="35"/>
      <c r="B29" s="75"/>
      <c r="C29" s="36"/>
      <c r="D29" s="41"/>
      <c r="E29" s="37"/>
      <c r="F29" s="54"/>
      <c r="G29" s="38">
        <f t="shared" si="0"/>
        <v>0</v>
      </c>
      <c r="H29" s="38"/>
      <c r="I29" s="39"/>
    </row>
    <row r="30" spans="1:9" s="40" customFormat="1" ht="15" customHeight="1" thickTop="1" thickBot="1" x14ac:dyDescent="0.25">
      <c r="A30" s="35"/>
      <c r="B30" s="75"/>
      <c r="C30" s="36"/>
      <c r="D30" s="41"/>
      <c r="E30" s="37"/>
      <c r="F30" s="54"/>
      <c r="G30" s="38">
        <f t="shared" si="0"/>
        <v>0</v>
      </c>
      <c r="H30" s="38"/>
      <c r="I30" s="39"/>
    </row>
    <row r="31" spans="1:9" s="40" customFormat="1" ht="15" customHeight="1" thickTop="1" thickBot="1" x14ac:dyDescent="0.25">
      <c r="A31" s="35"/>
      <c r="B31" s="75"/>
      <c r="C31" s="36"/>
      <c r="D31" s="41"/>
      <c r="E31" s="37"/>
      <c r="F31" s="54"/>
      <c r="G31" s="38">
        <f t="shared" si="0"/>
        <v>0</v>
      </c>
      <c r="H31" s="38"/>
      <c r="I31" s="39"/>
    </row>
    <row r="32" spans="1:9" s="40" customFormat="1" ht="15" customHeight="1" thickTop="1" thickBot="1" x14ac:dyDescent="0.25">
      <c r="A32" s="35"/>
      <c r="B32" s="75"/>
      <c r="C32" s="36"/>
      <c r="D32" s="41"/>
      <c r="E32" s="37"/>
      <c r="F32" s="54"/>
      <c r="G32" s="38">
        <f t="shared" si="0"/>
        <v>0</v>
      </c>
      <c r="H32" s="38"/>
      <c r="I32" s="39"/>
    </row>
    <row r="33" spans="1:9" s="40" customFormat="1" ht="15" customHeight="1" thickTop="1" thickBot="1" x14ac:dyDescent="0.25">
      <c r="A33" s="35"/>
      <c r="B33" s="75"/>
      <c r="C33" s="36"/>
      <c r="D33" s="41"/>
      <c r="E33" s="37"/>
      <c r="F33" s="54"/>
      <c r="G33" s="38">
        <f t="shared" si="0"/>
        <v>0</v>
      </c>
      <c r="H33" s="38"/>
      <c r="I33" s="39"/>
    </row>
    <row r="34" spans="1:9" s="40" customFormat="1" ht="15" customHeight="1" thickTop="1" thickBot="1" x14ac:dyDescent="0.25">
      <c r="A34" s="35"/>
      <c r="B34" s="75"/>
      <c r="C34" s="36"/>
      <c r="D34" s="41"/>
      <c r="E34" s="37"/>
      <c r="F34" s="54"/>
      <c r="G34" s="38">
        <f t="shared" si="0"/>
        <v>0</v>
      </c>
      <c r="H34" s="38"/>
      <c r="I34" s="39"/>
    </row>
    <row r="35" spans="1:9" s="40" customFormat="1" ht="15" customHeight="1" thickTop="1" thickBot="1" x14ac:dyDescent="0.25">
      <c r="A35" s="43"/>
      <c r="B35" s="75"/>
      <c r="C35" s="36"/>
      <c r="D35" s="41"/>
      <c r="E35" s="44"/>
      <c r="F35" s="55"/>
      <c r="G35" s="38">
        <f t="shared" si="0"/>
        <v>0</v>
      </c>
      <c r="H35" s="45"/>
      <c r="I35" s="39"/>
    </row>
    <row r="36" spans="1:9" s="28" customFormat="1" ht="18" customHeight="1" thickTop="1" thickBot="1" x14ac:dyDescent="0.25">
      <c r="A36" s="92"/>
      <c r="B36" s="239"/>
      <c r="C36" s="239"/>
      <c r="D36" s="239"/>
      <c r="E36" s="239"/>
      <c r="F36" s="239"/>
      <c r="G36" s="239"/>
      <c r="H36" s="239"/>
    </row>
    <row r="37" spans="1:9" s="28" customFormat="1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SUM(G9:G35)</f>
        <v>0</v>
      </c>
      <c r="H37" s="227"/>
      <c r="I37" s="27"/>
    </row>
    <row r="38" spans="1:9" s="28" customFormat="1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  <c r="I38" s="27"/>
    </row>
    <row r="39" spans="1:9" s="28" customFormat="1" ht="20.100000000000001" customHeight="1" thickTop="1" thickBot="1" x14ac:dyDescent="0.25">
      <c r="A39" s="80"/>
      <c r="B39" s="224" t="s">
        <v>28</v>
      </c>
      <c r="C39" s="224"/>
      <c r="D39" s="224"/>
      <c r="E39" s="224"/>
      <c r="F39" s="225"/>
      <c r="G39" s="226">
        <f>SUM(G37:H38)</f>
        <v>0</v>
      </c>
      <c r="H39" s="227"/>
      <c r="I39" s="27"/>
    </row>
    <row r="40" spans="1:9" ht="13.5" hidden="1" thickTop="1" x14ac:dyDescent="0.2"/>
    <row r="99" ht="13.5" hidden="1" thickTop="1" x14ac:dyDescent="0.2"/>
  </sheetData>
  <sheetProtection insertRows="0" sort="0" autoFilter="0"/>
  <mergeCells count="17">
    <mergeCell ref="G37:H37"/>
    <mergeCell ref="G38:H38"/>
    <mergeCell ref="G39:H39"/>
    <mergeCell ref="B37:F37"/>
    <mergeCell ref="B38:F38"/>
    <mergeCell ref="B39:F39"/>
    <mergeCell ref="A5:C5"/>
    <mergeCell ref="E5:G5"/>
    <mergeCell ref="A6:H6"/>
    <mergeCell ref="B7:H7"/>
    <mergeCell ref="B36:H36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6A461E3D-2E7B-49CD-A15F-9DF7CB55F748}"/>
    <hyperlink ref="A6:H6" location="INDEX!A1" display="MUDANZA" xr:uid="{0FF96D60-B1DC-4314-8ADD-5EA3F06099A3}"/>
  </hyperlinks>
  <printOptions gridLines="1"/>
  <pageMargins left="0.39370078740157483" right="0" top="0.51181102362204722" bottom="0.15748031496062992" header="0" footer="0"/>
  <pageSetup paperSize="9" scale="5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9CBEA5-9FDE-48BE-9214-3AC0E60C9317}">
          <x14:formula1>
            <xm:f>BDCHOFERES!$A$2:$A$50</xm:f>
          </x14:formula1>
          <xm:sqref>A9:A35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20AEA-1104-4FB4-931D-022978E3CA92}">
  <sheetPr codeName="Hoja40">
    <tabColor rgb="FFFFFF00"/>
    <pageSetUpPr fitToPage="1"/>
  </sheetPr>
  <dimension ref="A1:O99"/>
  <sheetViews>
    <sheetView zoomScaleNormal="100" workbookViewId="0">
      <selection activeCell="E16" sqref="E1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13"/>
      <c r="F5" s="213"/>
      <c r="G5" s="213"/>
      <c r="H5" s="1"/>
    </row>
    <row r="6" spans="1:10" s="25" customFormat="1" ht="28.5" customHeight="1" thickTop="1" thickBot="1" x14ac:dyDescent="0.25">
      <c r="A6" s="214" t="s">
        <v>184</v>
      </c>
      <c r="B6" s="215"/>
      <c r="C6" s="215"/>
      <c r="D6" s="215"/>
      <c r="E6" s="215"/>
      <c r="F6" s="215"/>
      <c r="G6" s="215"/>
      <c r="H6" s="216"/>
    </row>
    <row r="7" spans="1:10" s="25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</row>
    <row r="10" spans="1:10" ht="15" customHeight="1" thickTop="1" thickBot="1" x14ac:dyDescent="0.25">
      <c r="A10" s="84"/>
      <c r="B10" s="75"/>
      <c r="C10" s="20"/>
      <c r="D10" s="5"/>
      <c r="E10" s="9"/>
      <c r="F10" s="85"/>
      <c r="G10" s="86">
        <f t="shared" ref="G10:G35" si="0">SUM(F10)</f>
        <v>0</v>
      </c>
      <c r="H10" s="86"/>
    </row>
    <row r="11" spans="1:10" ht="15" customHeight="1" thickTop="1" thickBot="1" x14ac:dyDescent="0.25">
      <c r="A11" s="84"/>
      <c r="B11" s="75"/>
      <c r="C11" s="20"/>
      <c r="D11" s="5"/>
      <c r="E11" s="9"/>
      <c r="F11" s="85"/>
      <c r="G11" s="86">
        <f t="shared" si="0"/>
        <v>0</v>
      </c>
      <c r="H11" s="86"/>
    </row>
    <row r="12" spans="1:10" ht="15" customHeight="1" thickTop="1" thickBot="1" x14ac:dyDescent="0.25">
      <c r="A12" s="84"/>
      <c r="B12" s="75"/>
      <c r="C12" s="20"/>
      <c r="D12" s="5"/>
      <c r="E12" s="9"/>
      <c r="F12" s="85"/>
      <c r="G12" s="86">
        <f t="shared" si="0"/>
        <v>0</v>
      </c>
      <c r="H12" s="86"/>
    </row>
    <row r="13" spans="1:10" ht="15" customHeight="1" thickTop="1" thickBot="1" x14ac:dyDescent="0.25">
      <c r="A13" s="84"/>
      <c r="B13" s="75"/>
      <c r="C13" s="20"/>
      <c r="D13" s="7"/>
      <c r="E13" s="9"/>
      <c r="F13" s="87"/>
      <c r="G13" s="86">
        <f t="shared" si="0"/>
        <v>0</v>
      </c>
      <c r="H13" s="86"/>
    </row>
    <row r="14" spans="1:10" ht="15" customHeight="1" thickTop="1" thickBot="1" x14ac:dyDescent="0.25">
      <c r="A14" s="84"/>
      <c r="B14" s="75"/>
      <c r="C14" s="20"/>
      <c r="D14" s="7"/>
      <c r="E14" s="9"/>
      <c r="F14" s="87"/>
      <c r="G14" s="86">
        <f t="shared" si="0"/>
        <v>0</v>
      </c>
      <c r="H14" s="86"/>
    </row>
    <row r="15" spans="1:10" ht="15" customHeight="1" thickTop="1" thickBot="1" x14ac:dyDescent="0.25">
      <c r="A15" s="84"/>
      <c r="B15" s="75"/>
      <c r="C15" s="20"/>
      <c r="D15" s="7"/>
      <c r="E15" s="9"/>
      <c r="F15" s="87"/>
      <c r="G15" s="86">
        <f t="shared" si="0"/>
        <v>0</v>
      </c>
      <c r="H15" s="86"/>
    </row>
    <row r="16" spans="1:10" ht="15" customHeight="1" thickTop="1" thickBot="1" x14ac:dyDescent="0.25">
      <c r="A16" s="84"/>
      <c r="B16" s="75"/>
      <c r="C16" s="20"/>
      <c r="D16" s="7"/>
      <c r="E16" s="9"/>
      <c r="F16" s="87"/>
      <c r="G16" s="86">
        <f t="shared" si="0"/>
        <v>0</v>
      </c>
      <c r="H16" s="86"/>
    </row>
    <row r="17" spans="1:8" ht="15" customHeight="1" thickTop="1" thickBot="1" x14ac:dyDescent="0.25">
      <c r="A17" s="84"/>
      <c r="B17" s="75"/>
      <c r="C17" s="20"/>
      <c r="D17" s="7"/>
      <c r="E17" s="9"/>
      <c r="F17" s="87"/>
      <c r="G17" s="86">
        <f t="shared" si="0"/>
        <v>0</v>
      </c>
      <c r="H17" s="86"/>
    </row>
    <row r="18" spans="1:8" ht="15" customHeight="1" thickTop="1" thickBot="1" x14ac:dyDescent="0.25">
      <c r="A18" s="84"/>
      <c r="B18" s="75"/>
      <c r="C18" s="20"/>
      <c r="D18" s="7"/>
      <c r="E18" s="9"/>
      <c r="F18" s="87"/>
      <c r="G18" s="86">
        <f t="shared" si="0"/>
        <v>0</v>
      </c>
      <c r="H18" s="86"/>
    </row>
    <row r="19" spans="1:8" ht="15" customHeight="1" thickTop="1" thickBot="1" x14ac:dyDescent="0.25">
      <c r="A19" s="84"/>
      <c r="B19" s="75"/>
      <c r="C19" s="20"/>
      <c r="D19" s="7"/>
      <c r="E19" s="9"/>
      <c r="F19" s="87"/>
      <c r="G19" s="86">
        <f t="shared" si="0"/>
        <v>0</v>
      </c>
      <c r="H19" s="86"/>
    </row>
    <row r="20" spans="1:8" ht="15" customHeight="1" thickTop="1" thickBot="1" x14ac:dyDescent="0.25">
      <c r="A20" s="84"/>
      <c r="B20" s="75"/>
      <c r="C20" s="20"/>
      <c r="D20" s="7"/>
      <c r="E20" s="9"/>
      <c r="F20" s="87"/>
      <c r="G20" s="86">
        <f t="shared" si="0"/>
        <v>0</v>
      </c>
      <c r="H20" s="86"/>
    </row>
    <row r="21" spans="1:8" ht="15" customHeight="1" thickTop="1" thickBot="1" x14ac:dyDescent="0.25">
      <c r="A21" s="84"/>
      <c r="B21" s="75"/>
      <c r="C21" s="20"/>
      <c r="D21" s="5"/>
      <c r="E21" s="9"/>
      <c r="F21" s="87"/>
      <c r="G21" s="86">
        <f t="shared" si="0"/>
        <v>0</v>
      </c>
      <c r="H21" s="86"/>
    </row>
    <row r="22" spans="1:8" ht="15" customHeight="1" thickTop="1" thickBot="1" x14ac:dyDescent="0.25">
      <c r="A22" s="84"/>
      <c r="B22" s="75"/>
      <c r="C22" s="20"/>
      <c r="D22" s="8"/>
      <c r="E22" s="9"/>
      <c r="F22" s="87"/>
      <c r="G22" s="86">
        <f t="shared" si="0"/>
        <v>0</v>
      </c>
      <c r="H22" s="86"/>
    </row>
    <row r="23" spans="1:8" ht="15" customHeight="1" thickTop="1" thickBot="1" x14ac:dyDescent="0.25">
      <c r="A23" s="84"/>
      <c r="B23" s="75"/>
      <c r="C23" s="20"/>
      <c r="D23" s="7"/>
      <c r="E23" s="9"/>
      <c r="F23" s="87"/>
      <c r="G23" s="86">
        <f t="shared" si="0"/>
        <v>0</v>
      </c>
      <c r="H23" s="86"/>
    </row>
    <row r="24" spans="1:8" ht="15" customHeight="1" thickTop="1" thickBot="1" x14ac:dyDescent="0.25">
      <c r="A24" s="84"/>
      <c r="B24" s="75"/>
      <c r="C24" s="20"/>
      <c r="D24" s="7"/>
      <c r="E24" s="9"/>
      <c r="F24" s="87"/>
      <c r="G24" s="86">
        <f t="shared" si="0"/>
        <v>0</v>
      </c>
      <c r="H24" s="86"/>
    </row>
    <row r="25" spans="1:8" ht="15" customHeight="1" thickTop="1" thickBot="1" x14ac:dyDescent="0.25">
      <c r="A25" s="84"/>
      <c r="B25" s="75"/>
      <c r="C25" s="20"/>
      <c r="D25" s="7"/>
      <c r="E25" s="9"/>
      <c r="F25" s="87"/>
      <c r="G25" s="86">
        <f t="shared" si="0"/>
        <v>0</v>
      </c>
      <c r="H25" s="86"/>
    </row>
    <row r="26" spans="1:8" ht="15" customHeight="1" thickTop="1" thickBot="1" x14ac:dyDescent="0.25">
      <c r="A26" s="84"/>
      <c r="B26" s="75"/>
      <c r="C26" s="20"/>
      <c r="D26" s="7"/>
      <c r="E26" s="9"/>
      <c r="F26" s="87"/>
      <c r="G26" s="86">
        <f t="shared" si="0"/>
        <v>0</v>
      </c>
      <c r="H26" s="86"/>
    </row>
    <row r="27" spans="1:8" ht="15" customHeight="1" thickTop="1" thickBot="1" x14ac:dyDescent="0.25">
      <c r="A27" s="84"/>
      <c r="B27" s="75"/>
      <c r="C27" s="20"/>
      <c r="D27" s="7"/>
      <c r="E27" s="9"/>
      <c r="F27" s="87"/>
      <c r="G27" s="86">
        <f t="shared" si="0"/>
        <v>0</v>
      </c>
      <c r="H27" s="86"/>
    </row>
    <row r="28" spans="1:8" ht="15" customHeight="1" thickTop="1" thickBot="1" x14ac:dyDescent="0.25">
      <c r="A28" s="84"/>
      <c r="B28" s="75"/>
      <c r="C28" s="20"/>
      <c r="D28" s="7"/>
      <c r="E28" s="9"/>
      <c r="F28" s="87"/>
      <c r="G28" s="86">
        <f t="shared" si="0"/>
        <v>0</v>
      </c>
      <c r="H28" s="86"/>
    </row>
    <row r="29" spans="1:8" ht="15" customHeight="1" thickTop="1" thickBot="1" x14ac:dyDescent="0.25">
      <c r="A29" s="84"/>
      <c r="B29" s="75"/>
      <c r="C29" s="20"/>
      <c r="D29" s="7"/>
      <c r="E29" s="9"/>
      <c r="F29" s="87"/>
      <c r="G29" s="86">
        <f t="shared" si="0"/>
        <v>0</v>
      </c>
      <c r="H29" s="86"/>
    </row>
    <row r="30" spans="1:8" ht="15" customHeight="1" thickTop="1" thickBot="1" x14ac:dyDescent="0.25">
      <c r="A30" s="84"/>
      <c r="B30" s="75"/>
      <c r="C30" s="20"/>
      <c r="D30" s="7"/>
      <c r="E30" s="9"/>
      <c r="F30" s="87"/>
      <c r="G30" s="86">
        <f t="shared" si="0"/>
        <v>0</v>
      </c>
      <c r="H30" s="86"/>
    </row>
    <row r="31" spans="1:8" ht="15" customHeight="1" thickTop="1" thickBot="1" x14ac:dyDescent="0.25">
      <c r="A31" s="84"/>
      <c r="B31" s="75"/>
      <c r="C31" s="20"/>
      <c r="D31" s="7"/>
      <c r="E31" s="9"/>
      <c r="F31" s="87"/>
      <c r="G31" s="86">
        <f t="shared" si="0"/>
        <v>0</v>
      </c>
      <c r="H31" s="86"/>
    </row>
    <row r="32" spans="1:8" ht="15" customHeight="1" thickTop="1" thickBot="1" x14ac:dyDescent="0.25">
      <c r="A32" s="84"/>
      <c r="B32" s="75"/>
      <c r="C32" s="20"/>
      <c r="D32" s="7"/>
      <c r="E32" s="9"/>
      <c r="F32" s="87"/>
      <c r="G32" s="86">
        <f t="shared" si="0"/>
        <v>0</v>
      </c>
      <c r="H32" s="86"/>
    </row>
    <row r="33" spans="1:8" ht="15" customHeight="1" thickTop="1" thickBot="1" x14ac:dyDescent="0.25">
      <c r="A33" s="84"/>
      <c r="B33" s="75"/>
      <c r="C33" s="20"/>
      <c r="D33" s="7"/>
      <c r="E33" s="9"/>
      <c r="F33" s="87"/>
      <c r="G33" s="86">
        <f t="shared" si="0"/>
        <v>0</v>
      </c>
      <c r="H33" s="86"/>
    </row>
    <row r="34" spans="1:8" ht="15" customHeight="1" thickTop="1" thickBot="1" x14ac:dyDescent="0.25">
      <c r="A34" s="84"/>
      <c r="B34" s="75"/>
      <c r="C34" s="20"/>
      <c r="D34" s="7"/>
      <c r="E34" s="9"/>
      <c r="F34" s="87"/>
      <c r="G34" s="86">
        <f t="shared" si="0"/>
        <v>0</v>
      </c>
      <c r="H34" s="86"/>
    </row>
    <row r="35" spans="1:8" ht="15" customHeight="1" thickTop="1" thickBot="1" x14ac:dyDescent="0.25">
      <c r="A35" s="88"/>
      <c r="B35" s="75"/>
      <c r="C35" s="20"/>
      <c r="D35" s="7"/>
      <c r="E35" s="10"/>
      <c r="F35" s="89"/>
      <c r="G35" s="86">
        <f t="shared" si="0"/>
        <v>0</v>
      </c>
      <c r="H35" s="90"/>
    </row>
    <row r="36" spans="1:8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</row>
    <row r="37" spans="1:8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SUM(G11:G35)</f>
        <v>0</v>
      </c>
      <c r="H37" s="227"/>
    </row>
    <row r="38" spans="1:8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</row>
    <row r="39" spans="1:8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SUM(G37:H38)</f>
        <v>0</v>
      </c>
      <c r="H39" s="227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3DFA8490-D00B-491B-A999-48C5E4AC230C}"/>
    <hyperlink ref="A6:H6" location="INDEX!A1" display="RETIRO DE DAPSA" xr:uid="{E877C592-CFB3-43BC-B221-29516E60A79D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E9C0E3-C37C-4E03-A8F4-3CB89FB7DD6F}">
          <x14:formula1>
            <xm:f>BDCHOFERES!$A$2:$A$100</xm:f>
          </x14:formula1>
          <xm:sqref>A9:A35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ED79-341B-423A-953A-F05E884EF206}">
  <sheetPr codeName="Hoja39">
    <tabColor rgb="FFFFFF00"/>
    <pageSetUpPr fitToPage="1"/>
  </sheetPr>
  <dimension ref="A1:O99"/>
  <sheetViews>
    <sheetView zoomScaleNormal="100" workbookViewId="0">
      <selection activeCell="A6" sqref="A6:H6"/>
    </sheetView>
  </sheetViews>
  <sheetFormatPr baseColWidth="10" defaultColWidth="0" defaultRowHeight="12.75" customHeight="1" zeroHeight="1" x14ac:dyDescent="0.2"/>
  <cols>
    <col min="1" max="1" width="27.4257812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7" width="14.140625" style="24" customWidth="1"/>
    <col min="8" max="8" width="27.7109375" style="24" customWidth="1"/>
    <col min="9" max="9" width="11" style="24" hidden="1" customWidth="1"/>
    <col min="10" max="10" width="0" style="2" hidden="1" customWidth="1"/>
    <col min="11" max="11" width="11" style="2" hidden="1" customWidth="1"/>
    <col min="12" max="12" width="0" style="2" hidden="1" customWidth="1"/>
    <col min="13" max="13" width="11" style="2" hidden="1" customWidth="1"/>
    <col min="14" max="15" width="0" style="2" hidden="1" customWidth="1"/>
    <col min="16" max="16384" width="11.42578125" style="2" hidden="1"/>
  </cols>
  <sheetData>
    <row r="1" spans="1:10" x14ac:dyDescent="0.2">
      <c r="A1" s="3"/>
      <c r="B1" s="3"/>
      <c r="C1" s="3"/>
      <c r="D1" s="3"/>
      <c r="E1" s="3"/>
      <c r="F1" s="3"/>
      <c r="G1" s="4"/>
      <c r="H1" s="1"/>
    </row>
    <row r="2" spans="1:10" x14ac:dyDescent="0.2">
      <c r="A2" s="212"/>
      <c r="B2" s="212"/>
      <c r="C2" s="212"/>
      <c r="D2" s="22"/>
      <c r="E2" s="213"/>
      <c r="F2" s="213"/>
      <c r="G2" s="213"/>
      <c r="H2" s="1"/>
    </row>
    <row r="3" spans="1:10" x14ac:dyDescent="0.2">
      <c r="A3" s="212"/>
      <c r="B3" s="212"/>
      <c r="C3" s="212"/>
      <c r="D3" s="22"/>
      <c r="E3" s="213"/>
      <c r="F3" s="213"/>
      <c r="G3" s="213"/>
      <c r="H3" s="1"/>
    </row>
    <row r="4" spans="1:10" ht="16.5" x14ac:dyDescent="0.25">
      <c r="A4" s="211"/>
      <c r="B4" s="212"/>
      <c r="C4" s="212"/>
      <c r="D4" s="22"/>
      <c r="E4" s="213"/>
      <c r="F4" s="213"/>
      <c r="G4" s="213"/>
      <c r="H4" s="1"/>
    </row>
    <row r="5" spans="1:10" ht="17.25" thickBot="1" x14ac:dyDescent="0.3">
      <c r="A5" s="211"/>
      <c r="B5" s="212"/>
      <c r="C5" s="212"/>
      <c r="D5" s="22"/>
      <c r="E5" s="213"/>
      <c r="F5" s="213"/>
      <c r="G5" s="213"/>
      <c r="H5" s="1"/>
    </row>
    <row r="6" spans="1:10" s="25" customFormat="1" ht="28.5" customHeight="1" thickTop="1" thickBot="1" x14ac:dyDescent="0.25">
      <c r="A6" s="214" t="s">
        <v>183</v>
      </c>
      <c r="B6" s="215"/>
      <c r="C6" s="215"/>
      <c r="D6" s="215"/>
      <c r="E6" s="215"/>
      <c r="F6" s="215"/>
      <c r="G6" s="215"/>
      <c r="H6" s="216"/>
    </row>
    <row r="7" spans="1:10" s="25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9"/>
    </row>
    <row r="8" spans="1:10" s="25" customFormat="1" ht="17.25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19</v>
      </c>
      <c r="G8" s="51" t="s">
        <v>7</v>
      </c>
      <c r="H8" s="52" t="s">
        <v>21</v>
      </c>
      <c r="J8" s="26"/>
    </row>
    <row r="9" spans="1:10" ht="15" customHeight="1" thickTop="1" thickBot="1" x14ac:dyDescent="0.25">
      <c r="A9" s="84"/>
      <c r="B9" s="75"/>
      <c r="C9" s="20"/>
      <c r="D9" s="5"/>
      <c r="E9" s="9"/>
      <c r="F9" s="85"/>
      <c r="G9" s="86">
        <f>SUM(F9)</f>
        <v>0</v>
      </c>
      <c r="H9" s="86"/>
    </row>
    <row r="10" spans="1:10" ht="15" customHeight="1" thickTop="1" thickBot="1" x14ac:dyDescent="0.25">
      <c r="A10" s="84"/>
      <c r="B10" s="75"/>
      <c r="C10" s="20"/>
      <c r="D10" s="5"/>
      <c r="E10" s="9"/>
      <c r="F10" s="85"/>
      <c r="G10" s="86">
        <f t="shared" ref="G10:G35" si="0">SUM(F10)</f>
        <v>0</v>
      </c>
      <c r="H10" s="86"/>
    </row>
    <row r="11" spans="1:10" ht="15" customHeight="1" thickTop="1" thickBot="1" x14ac:dyDescent="0.25">
      <c r="A11" s="84"/>
      <c r="B11" s="75"/>
      <c r="C11" s="20"/>
      <c r="D11" s="5"/>
      <c r="E11" s="9"/>
      <c r="F11" s="85"/>
      <c r="G11" s="86">
        <f t="shared" si="0"/>
        <v>0</v>
      </c>
      <c r="H11" s="86"/>
    </row>
    <row r="12" spans="1:10" ht="15" customHeight="1" thickTop="1" thickBot="1" x14ac:dyDescent="0.25">
      <c r="A12" s="84"/>
      <c r="B12" s="75"/>
      <c r="C12" s="20"/>
      <c r="D12" s="5"/>
      <c r="E12" s="9"/>
      <c r="F12" s="85"/>
      <c r="G12" s="86">
        <f t="shared" si="0"/>
        <v>0</v>
      </c>
      <c r="H12" s="86"/>
    </row>
    <row r="13" spans="1:10" ht="15" customHeight="1" thickTop="1" thickBot="1" x14ac:dyDescent="0.25">
      <c r="A13" s="84"/>
      <c r="B13" s="75"/>
      <c r="C13" s="20"/>
      <c r="D13" s="7"/>
      <c r="E13" s="9"/>
      <c r="F13" s="87"/>
      <c r="G13" s="86">
        <f t="shared" si="0"/>
        <v>0</v>
      </c>
      <c r="H13" s="86"/>
    </row>
    <row r="14" spans="1:10" ht="15" customHeight="1" thickTop="1" thickBot="1" x14ac:dyDescent="0.25">
      <c r="A14" s="84"/>
      <c r="B14" s="75"/>
      <c r="C14" s="20"/>
      <c r="D14" s="7"/>
      <c r="E14" s="9"/>
      <c r="F14" s="87"/>
      <c r="G14" s="86">
        <f t="shared" si="0"/>
        <v>0</v>
      </c>
      <c r="H14" s="86"/>
    </row>
    <row r="15" spans="1:10" ht="15" customHeight="1" thickTop="1" thickBot="1" x14ac:dyDescent="0.25">
      <c r="A15" s="84"/>
      <c r="B15" s="75"/>
      <c r="C15" s="20"/>
      <c r="D15" s="7"/>
      <c r="E15" s="9"/>
      <c r="F15" s="87"/>
      <c r="G15" s="86">
        <f t="shared" si="0"/>
        <v>0</v>
      </c>
      <c r="H15" s="86"/>
    </row>
    <row r="16" spans="1:10" ht="15" customHeight="1" thickTop="1" thickBot="1" x14ac:dyDescent="0.25">
      <c r="A16" s="84"/>
      <c r="B16" s="75"/>
      <c r="C16" s="20"/>
      <c r="D16" s="7"/>
      <c r="E16" s="9"/>
      <c r="F16" s="87"/>
      <c r="G16" s="86">
        <f t="shared" si="0"/>
        <v>0</v>
      </c>
      <c r="H16" s="86"/>
    </row>
    <row r="17" spans="1:8" ht="15" customHeight="1" thickTop="1" thickBot="1" x14ac:dyDescent="0.25">
      <c r="A17" s="84"/>
      <c r="B17" s="75"/>
      <c r="C17" s="20"/>
      <c r="D17" s="7"/>
      <c r="E17" s="9"/>
      <c r="F17" s="87"/>
      <c r="G17" s="86">
        <f t="shared" si="0"/>
        <v>0</v>
      </c>
      <c r="H17" s="86"/>
    </row>
    <row r="18" spans="1:8" ht="15" customHeight="1" thickTop="1" thickBot="1" x14ac:dyDescent="0.25">
      <c r="A18" s="84"/>
      <c r="B18" s="75"/>
      <c r="C18" s="20"/>
      <c r="D18" s="7"/>
      <c r="E18" s="9"/>
      <c r="F18" s="87"/>
      <c r="G18" s="86">
        <f t="shared" si="0"/>
        <v>0</v>
      </c>
      <c r="H18" s="86"/>
    </row>
    <row r="19" spans="1:8" ht="15" customHeight="1" thickTop="1" thickBot="1" x14ac:dyDescent="0.25">
      <c r="A19" s="84"/>
      <c r="B19" s="75"/>
      <c r="C19" s="20"/>
      <c r="D19" s="7"/>
      <c r="E19" s="9"/>
      <c r="F19" s="87"/>
      <c r="G19" s="86">
        <f t="shared" si="0"/>
        <v>0</v>
      </c>
      <c r="H19" s="86"/>
    </row>
    <row r="20" spans="1:8" ht="15" customHeight="1" thickTop="1" thickBot="1" x14ac:dyDescent="0.25">
      <c r="A20" s="84"/>
      <c r="B20" s="75"/>
      <c r="C20" s="20"/>
      <c r="D20" s="7"/>
      <c r="E20" s="9"/>
      <c r="F20" s="87"/>
      <c r="G20" s="86">
        <f t="shared" si="0"/>
        <v>0</v>
      </c>
      <c r="H20" s="86"/>
    </row>
    <row r="21" spans="1:8" ht="15" customHeight="1" thickTop="1" thickBot="1" x14ac:dyDescent="0.25">
      <c r="A21" s="84"/>
      <c r="B21" s="75"/>
      <c r="C21" s="20"/>
      <c r="D21" s="5"/>
      <c r="E21" s="9"/>
      <c r="F21" s="87"/>
      <c r="G21" s="86">
        <f t="shared" si="0"/>
        <v>0</v>
      </c>
      <c r="H21" s="86"/>
    </row>
    <row r="22" spans="1:8" ht="15" customHeight="1" thickTop="1" thickBot="1" x14ac:dyDescent="0.25">
      <c r="A22" s="84"/>
      <c r="B22" s="75"/>
      <c r="C22" s="20"/>
      <c r="D22" s="8"/>
      <c r="E22" s="9"/>
      <c r="F22" s="87"/>
      <c r="G22" s="86">
        <f t="shared" si="0"/>
        <v>0</v>
      </c>
      <c r="H22" s="86"/>
    </row>
    <row r="23" spans="1:8" ht="15" customHeight="1" thickTop="1" thickBot="1" x14ac:dyDescent="0.25">
      <c r="A23" s="84"/>
      <c r="B23" s="75"/>
      <c r="C23" s="20"/>
      <c r="D23" s="7"/>
      <c r="E23" s="9"/>
      <c r="F23" s="87"/>
      <c r="G23" s="86">
        <f t="shared" si="0"/>
        <v>0</v>
      </c>
      <c r="H23" s="86"/>
    </row>
    <row r="24" spans="1:8" ht="15" customHeight="1" thickTop="1" thickBot="1" x14ac:dyDescent="0.25">
      <c r="A24" s="84"/>
      <c r="B24" s="75"/>
      <c r="C24" s="20"/>
      <c r="D24" s="7"/>
      <c r="E24" s="9"/>
      <c r="F24" s="87"/>
      <c r="G24" s="86">
        <f t="shared" si="0"/>
        <v>0</v>
      </c>
      <c r="H24" s="86"/>
    </row>
    <row r="25" spans="1:8" ht="15" customHeight="1" thickTop="1" thickBot="1" x14ac:dyDescent="0.25">
      <c r="A25" s="84"/>
      <c r="B25" s="75"/>
      <c r="C25" s="20"/>
      <c r="D25" s="7"/>
      <c r="E25" s="9"/>
      <c r="F25" s="87"/>
      <c r="G25" s="86">
        <f t="shared" si="0"/>
        <v>0</v>
      </c>
      <c r="H25" s="86"/>
    </row>
    <row r="26" spans="1:8" ht="15" customHeight="1" thickTop="1" thickBot="1" x14ac:dyDescent="0.25">
      <c r="A26" s="84"/>
      <c r="B26" s="75"/>
      <c r="C26" s="20"/>
      <c r="D26" s="7"/>
      <c r="E26" s="9"/>
      <c r="F26" s="87"/>
      <c r="G26" s="86">
        <f t="shared" si="0"/>
        <v>0</v>
      </c>
      <c r="H26" s="86"/>
    </row>
    <row r="27" spans="1:8" ht="15" customHeight="1" thickTop="1" thickBot="1" x14ac:dyDescent="0.25">
      <c r="A27" s="84"/>
      <c r="B27" s="75"/>
      <c r="C27" s="20"/>
      <c r="D27" s="7"/>
      <c r="E27" s="9"/>
      <c r="F27" s="87"/>
      <c r="G27" s="86">
        <f t="shared" si="0"/>
        <v>0</v>
      </c>
      <c r="H27" s="86"/>
    </row>
    <row r="28" spans="1:8" ht="15" customHeight="1" thickTop="1" thickBot="1" x14ac:dyDescent="0.25">
      <c r="A28" s="84"/>
      <c r="B28" s="75"/>
      <c r="C28" s="20"/>
      <c r="D28" s="7"/>
      <c r="E28" s="9"/>
      <c r="F28" s="87"/>
      <c r="G28" s="86">
        <f t="shared" si="0"/>
        <v>0</v>
      </c>
      <c r="H28" s="86"/>
    </row>
    <row r="29" spans="1:8" ht="15" customHeight="1" thickTop="1" thickBot="1" x14ac:dyDescent="0.25">
      <c r="A29" s="84"/>
      <c r="B29" s="75"/>
      <c r="C29" s="20"/>
      <c r="D29" s="7"/>
      <c r="E29" s="9"/>
      <c r="F29" s="87"/>
      <c r="G29" s="86">
        <f t="shared" si="0"/>
        <v>0</v>
      </c>
      <c r="H29" s="86"/>
    </row>
    <row r="30" spans="1:8" ht="15" customHeight="1" thickTop="1" thickBot="1" x14ac:dyDescent="0.25">
      <c r="A30" s="84"/>
      <c r="B30" s="75"/>
      <c r="C30" s="20"/>
      <c r="D30" s="7"/>
      <c r="E30" s="9"/>
      <c r="F30" s="87"/>
      <c r="G30" s="86">
        <f t="shared" si="0"/>
        <v>0</v>
      </c>
      <c r="H30" s="86"/>
    </row>
    <row r="31" spans="1:8" ht="15" customHeight="1" thickTop="1" thickBot="1" x14ac:dyDescent="0.25">
      <c r="A31" s="84"/>
      <c r="B31" s="75"/>
      <c r="C31" s="20"/>
      <c r="D31" s="7"/>
      <c r="E31" s="9"/>
      <c r="F31" s="87"/>
      <c r="G31" s="86">
        <f t="shared" si="0"/>
        <v>0</v>
      </c>
      <c r="H31" s="86"/>
    </row>
    <row r="32" spans="1:8" ht="15" customHeight="1" thickTop="1" thickBot="1" x14ac:dyDescent="0.25">
      <c r="A32" s="84"/>
      <c r="B32" s="75"/>
      <c r="C32" s="20"/>
      <c r="D32" s="7"/>
      <c r="E32" s="9"/>
      <c r="F32" s="87"/>
      <c r="G32" s="86">
        <f t="shared" si="0"/>
        <v>0</v>
      </c>
      <c r="H32" s="86"/>
    </row>
    <row r="33" spans="1:8" ht="15" customHeight="1" thickTop="1" thickBot="1" x14ac:dyDescent="0.25">
      <c r="A33" s="84"/>
      <c r="B33" s="75"/>
      <c r="C33" s="20"/>
      <c r="D33" s="7"/>
      <c r="E33" s="9"/>
      <c r="F33" s="87"/>
      <c r="G33" s="86">
        <f t="shared" si="0"/>
        <v>0</v>
      </c>
      <c r="H33" s="86"/>
    </row>
    <row r="34" spans="1:8" ht="15" customHeight="1" thickTop="1" thickBot="1" x14ac:dyDescent="0.25">
      <c r="A34" s="84"/>
      <c r="B34" s="75"/>
      <c r="C34" s="20"/>
      <c r="D34" s="7"/>
      <c r="E34" s="9"/>
      <c r="F34" s="87"/>
      <c r="G34" s="86">
        <f t="shared" si="0"/>
        <v>0</v>
      </c>
      <c r="H34" s="86"/>
    </row>
    <row r="35" spans="1:8" ht="15" customHeight="1" thickTop="1" thickBot="1" x14ac:dyDescent="0.25">
      <c r="A35" s="88"/>
      <c r="B35" s="75"/>
      <c r="C35" s="20"/>
      <c r="D35" s="7"/>
      <c r="E35" s="10"/>
      <c r="F35" s="89"/>
      <c r="G35" s="86">
        <f t="shared" si="0"/>
        <v>0</v>
      </c>
      <c r="H35" s="90"/>
    </row>
    <row r="36" spans="1:8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</row>
    <row r="37" spans="1:8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SUM(G11:G35)</f>
        <v>0</v>
      </c>
      <c r="H37" s="227"/>
    </row>
    <row r="38" spans="1:8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</row>
    <row r="39" spans="1:8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SUM(G37:H38)</f>
        <v>0</v>
      </c>
      <c r="H39" s="227"/>
    </row>
    <row r="40" spans="1:8" ht="13.5" hidden="1" thickTop="1" x14ac:dyDescent="0.2"/>
    <row r="41" spans="1:8" ht="13.5" hidden="1" thickTop="1" x14ac:dyDescent="0.2"/>
    <row r="42" spans="1:8" ht="13.5" hidden="1" thickTop="1" x14ac:dyDescent="0.2"/>
    <row r="43" spans="1:8" ht="13.5" hidden="1" thickTop="1" x14ac:dyDescent="0.2"/>
    <row r="44" spans="1:8" ht="13.5" hidden="1" thickTop="1" x14ac:dyDescent="0.2"/>
    <row r="45" spans="1:8" ht="13.5" hidden="1" thickTop="1" x14ac:dyDescent="0.2"/>
    <row r="46" spans="1:8" ht="13.5" hidden="1" thickTop="1" x14ac:dyDescent="0.2"/>
    <row r="47" spans="1:8" ht="13.5" hidden="1" thickTop="1" x14ac:dyDescent="0.2"/>
    <row r="48" spans="1:8" ht="13.5" hidden="1" thickTop="1" x14ac:dyDescent="0.2"/>
    <row r="49" ht="13.5" hidden="1" thickTop="1" x14ac:dyDescent="0.2"/>
    <row r="50" ht="13.5" hidden="1" thickTop="1" x14ac:dyDescent="0.2"/>
    <row r="51" ht="13.5" hidden="1" thickTop="1" x14ac:dyDescent="0.2"/>
    <row r="52" ht="13.5" hidden="1" thickTop="1" x14ac:dyDescent="0.2"/>
    <row r="53" ht="13.5" hidden="1" thickTop="1" x14ac:dyDescent="0.2"/>
    <row r="54" ht="13.5" hidden="1" thickTop="1" x14ac:dyDescent="0.2"/>
    <row r="55" ht="13.5" hidden="1" thickTop="1" x14ac:dyDescent="0.2"/>
    <row r="56" ht="13.5" hidden="1" thickTop="1" x14ac:dyDescent="0.2"/>
    <row r="57" ht="13.5" hidden="1" thickTop="1" x14ac:dyDescent="0.2"/>
    <row r="58" ht="13.5" hidden="1" thickTop="1" x14ac:dyDescent="0.2"/>
    <row r="59" ht="13.5" hidden="1" thickTop="1" x14ac:dyDescent="0.2"/>
    <row r="60" ht="13.5" hidden="1" thickTop="1" x14ac:dyDescent="0.2"/>
    <row r="61" ht="13.5" hidden="1" thickTop="1" x14ac:dyDescent="0.2"/>
    <row r="62" ht="13.5" hidden="1" thickTop="1" x14ac:dyDescent="0.2"/>
    <row r="63" ht="13.5" hidden="1" thickTop="1" x14ac:dyDescent="0.2"/>
    <row r="64" ht="13.5" hidden="1" thickTop="1" x14ac:dyDescent="0.2"/>
    <row r="65" ht="13.5" hidden="1" thickTop="1" x14ac:dyDescent="0.2"/>
    <row r="66" ht="13.5" hidden="1" thickTop="1" x14ac:dyDescent="0.2"/>
    <row r="67" ht="13.5" hidden="1" thickTop="1" x14ac:dyDescent="0.2"/>
    <row r="68" ht="13.5" hidden="1" thickTop="1" x14ac:dyDescent="0.2"/>
    <row r="69" ht="13.5" hidden="1" thickTop="1" x14ac:dyDescent="0.2"/>
    <row r="70" ht="13.5" hidden="1" thickTop="1" x14ac:dyDescent="0.2"/>
    <row r="71" ht="13.5" hidden="1" thickTop="1" x14ac:dyDescent="0.2"/>
    <row r="72" ht="13.5" hidden="1" thickTop="1" x14ac:dyDescent="0.2"/>
    <row r="73" ht="13.5" hidden="1" thickTop="1" x14ac:dyDescent="0.2"/>
    <row r="74" ht="13.5" hidden="1" thickTop="1" x14ac:dyDescent="0.2"/>
    <row r="75" ht="13.5" hidden="1" thickTop="1" x14ac:dyDescent="0.2"/>
    <row r="76" ht="13.5" hidden="1" thickTop="1" x14ac:dyDescent="0.2"/>
    <row r="77" ht="13.5" hidden="1" thickTop="1" x14ac:dyDescent="0.2"/>
    <row r="78" ht="13.5" hidden="1" thickTop="1" x14ac:dyDescent="0.2"/>
    <row r="79" ht="13.5" hidden="1" thickTop="1" x14ac:dyDescent="0.2"/>
    <row r="80" ht="13.5" hidden="1" thickTop="1" x14ac:dyDescent="0.2"/>
    <row r="81" ht="13.5" hidden="1" thickTop="1" x14ac:dyDescent="0.2"/>
    <row r="82" ht="13.5" hidden="1" thickTop="1" x14ac:dyDescent="0.2"/>
    <row r="83" ht="13.5" hidden="1" thickTop="1" x14ac:dyDescent="0.2"/>
    <row r="84" ht="13.5" hidden="1" thickTop="1" x14ac:dyDescent="0.2"/>
    <row r="85" ht="13.5" hidden="1" thickTop="1" x14ac:dyDescent="0.2"/>
    <row r="86" ht="13.5" hidden="1" thickTop="1" x14ac:dyDescent="0.2"/>
    <row r="87" ht="13.5" hidden="1" thickTop="1" x14ac:dyDescent="0.2"/>
    <row r="88" ht="13.5" hidden="1" thickTop="1" x14ac:dyDescent="0.2"/>
    <row r="89" ht="13.5" hidden="1" thickTop="1" x14ac:dyDescent="0.2"/>
    <row r="90" ht="13.5" hidden="1" thickTop="1" x14ac:dyDescent="0.2"/>
    <row r="91" ht="13.5" hidden="1" thickTop="1" x14ac:dyDescent="0.2"/>
    <row r="92" ht="13.5" hidden="1" thickTop="1" x14ac:dyDescent="0.2"/>
    <row r="93" ht="13.5" hidden="1" thickTop="1" x14ac:dyDescent="0.2"/>
    <row r="94" ht="13.5" hidden="1" thickTop="1" x14ac:dyDescent="0.2"/>
    <row r="95" ht="13.5" hidden="1" thickTop="1" x14ac:dyDescent="0.2"/>
    <row r="96" ht="13.5" hidden="1" thickTop="1" x14ac:dyDescent="0.2"/>
    <row r="97" ht="13.5" hidden="1" thickTop="1" x14ac:dyDescent="0.2"/>
    <row r="98" ht="13.5" hidden="1" thickTop="1" x14ac:dyDescent="0.2"/>
    <row r="99" ht="12.75" hidden="1" customHeight="1" thickTop="1" x14ac:dyDescent="0.2"/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H38"/>
    <mergeCell ref="B39:F39"/>
    <mergeCell ref="G39:H39"/>
    <mergeCell ref="A5:C5"/>
    <mergeCell ref="E5:G5"/>
    <mergeCell ref="A6:H6"/>
    <mergeCell ref="B7:H7"/>
    <mergeCell ref="B36:H36"/>
    <mergeCell ref="B37:F37"/>
    <mergeCell ref="G37:H37"/>
    <mergeCell ref="A2:C2"/>
    <mergeCell ref="E2:G2"/>
    <mergeCell ref="A3:C3"/>
    <mergeCell ref="E3:G3"/>
    <mergeCell ref="A4:C4"/>
    <mergeCell ref="E4:G4"/>
  </mergeCells>
  <hyperlinks>
    <hyperlink ref="A6:G6" location="INDICE!A1" display="LINEA 40 H" xr:uid="{E0A029DF-3BF3-465C-8082-CA6A5ACC9248}"/>
    <hyperlink ref="A6:H6" location="INDEX!A1" display="RETIRO DE DAPSA" xr:uid="{FFC4594B-C09B-4C98-8A14-B798CBB9A192}"/>
  </hyperlinks>
  <pageMargins left="0.39370078740157483" right="0" top="0.51181102362204722" bottom="0.15748031496062992" header="0" footer="0"/>
  <pageSetup scale="77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1FD16B-C1C3-4028-87C7-AC0F91A33128}">
          <x14:formula1>
            <xm:f>BDCHOFERES!$A$2:$A$100</xm:f>
          </x14:formula1>
          <xm:sqref>A9:A35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BDF47-E8C9-4E6E-A43C-743F42D8A6CF}">
  <sheetPr codeName="Hoja41">
    <tabColor rgb="FF92D050"/>
    <pageSetUpPr fitToPage="1"/>
  </sheetPr>
  <dimension ref="A1:N39"/>
  <sheetViews>
    <sheetView zoomScaleNormal="100" workbookViewId="0">
      <selection activeCell="A6" sqref="A6:I6"/>
    </sheetView>
  </sheetViews>
  <sheetFormatPr baseColWidth="10" defaultColWidth="0" defaultRowHeight="0" customHeight="1" zeroHeight="1" x14ac:dyDescent="0.2"/>
  <cols>
    <col min="1" max="1" width="18.85546875" style="24" customWidth="1"/>
    <col min="2" max="2" width="25.140625" style="24" customWidth="1"/>
    <col min="3" max="3" width="45.140625" style="24" customWidth="1"/>
    <col min="4" max="4" width="22.28515625" style="24" customWidth="1"/>
    <col min="5" max="5" width="11.5703125" style="24" customWidth="1"/>
    <col min="6" max="6" width="14.28515625" style="24" customWidth="1"/>
    <col min="7" max="8" width="16" style="24" customWidth="1"/>
    <col min="9" max="9" width="22.7109375" style="24" customWidth="1"/>
    <col min="10" max="10" width="11" style="24" hidden="1" customWidth="1"/>
    <col min="11" max="11" width="11.42578125" style="2" hidden="1" customWidth="1"/>
    <col min="12" max="12" width="11" style="2" hidden="1" customWidth="1"/>
    <col min="13" max="13" width="11.42578125" style="2" hidden="1" customWidth="1"/>
    <col min="14" max="14" width="11" style="2" hidden="1" customWidth="1"/>
    <col min="15" max="16384" width="11.42578125" style="2" hidden="1"/>
  </cols>
  <sheetData>
    <row r="1" spans="1:11" ht="12.75" x14ac:dyDescent="0.2">
      <c r="A1" s="3"/>
      <c r="B1" s="3"/>
      <c r="C1" s="3"/>
      <c r="D1" s="3"/>
      <c r="E1" s="3"/>
      <c r="F1" s="3"/>
      <c r="G1" s="3"/>
      <c r="H1" s="3"/>
      <c r="I1" s="4"/>
    </row>
    <row r="2" spans="1:11" ht="12.75" x14ac:dyDescent="0.2">
      <c r="A2" s="212"/>
      <c r="B2" s="212"/>
      <c r="C2" s="212"/>
      <c r="D2" s="22"/>
      <c r="E2" s="213"/>
      <c r="F2" s="213"/>
      <c r="G2" s="213"/>
      <c r="H2" s="213"/>
      <c r="I2" s="213"/>
    </row>
    <row r="3" spans="1:11" ht="12.75" x14ac:dyDescent="0.2">
      <c r="A3" s="212"/>
      <c r="B3" s="212"/>
      <c r="C3" s="212"/>
      <c r="D3" s="22"/>
      <c r="E3" s="213"/>
      <c r="F3" s="213"/>
      <c r="G3" s="213"/>
      <c r="H3" s="213"/>
      <c r="I3" s="213"/>
    </row>
    <row r="4" spans="1:11" ht="16.5" x14ac:dyDescent="0.25">
      <c r="A4" s="211"/>
      <c r="B4" s="212"/>
      <c r="C4" s="212"/>
      <c r="D4" s="22"/>
      <c r="E4" s="213"/>
      <c r="F4" s="213"/>
      <c r="G4" s="213"/>
      <c r="H4" s="213"/>
      <c r="I4" s="213"/>
    </row>
    <row r="5" spans="1:11" ht="17.25" thickBot="1" x14ac:dyDescent="0.3">
      <c r="A5" s="211"/>
      <c r="B5" s="212"/>
      <c r="C5" s="212"/>
      <c r="D5" s="22"/>
      <c r="E5" s="213"/>
      <c r="F5" s="213"/>
      <c r="G5" s="213"/>
      <c r="H5" s="213"/>
      <c r="I5" s="213"/>
    </row>
    <row r="6" spans="1:11" s="25" customFormat="1" ht="28.5" customHeight="1" thickTop="1" thickBot="1" x14ac:dyDescent="0.25">
      <c r="A6" s="214" t="s">
        <v>185</v>
      </c>
      <c r="B6" s="215"/>
      <c r="C6" s="215"/>
      <c r="D6" s="215"/>
      <c r="E6" s="215"/>
      <c r="F6" s="215"/>
      <c r="G6" s="215"/>
      <c r="H6" s="215"/>
      <c r="I6" s="216"/>
    </row>
    <row r="7" spans="1:11" s="25" customFormat="1" ht="17.25" thickTop="1" thickBot="1" x14ac:dyDescent="0.25">
      <c r="A7" s="61" t="s">
        <v>0</v>
      </c>
      <c r="B7" s="217">
        <f ca="1">TODAY()-1</f>
        <v>44892</v>
      </c>
      <c r="C7" s="218"/>
      <c r="D7" s="218"/>
      <c r="E7" s="218"/>
      <c r="F7" s="218"/>
      <c r="G7" s="218"/>
      <c r="H7" s="218"/>
      <c r="I7" s="219"/>
    </row>
    <row r="8" spans="1:11" s="25" customFormat="1" ht="24" thickTop="1" thickBot="1" x14ac:dyDescent="0.25">
      <c r="A8" s="46" t="s">
        <v>1</v>
      </c>
      <c r="B8" s="47" t="s">
        <v>20</v>
      </c>
      <c r="C8" s="48" t="s">
        <v>5</v>
      </c>
      <c r="D8" s="46" t="s">
        <v>6</v>
      </c>
      <c r="E8" s="49" t="s">
        <v>24</v>
      </c>
      <c r="F8" s="50" t="s">
        <v>27</v>
      </c>
      <c r="G8" s="49" t="s">
        <v>25</v>
      </c>
      <c r="H8" s="49" t="s">
        <v>26</v>
      </c>
      <c r="I8" s="52" t="s">
        <v>7</v>
      </c>
      <c r="K8" s="26"/>
    </row>
    <row r="9" spans="1:11" s="32" customFormat="1" ht="15" customHeight="1" thickTop="1" thickBot="1" x14ac:dyDescent="0.25">
      <c r="A9" s="5"/>
      <c r="B9" s="75"/>
      <c r="C9" s="21"/>
      <c r="D9" s="5"/>
      <c r="E9" s="29"/>
      <c r="F9" s="163"/>
      <c r="G9" s="68"/>
      <c r="H9" s="68"/>
      <c r="I9" s="30">
        <f>SUM(G9+H9)</f>
        <v>0</v>
      </c>
      <c r="J9" s="31"/>
    </row>
    <row r="10" spans="1:11" s="32" customFormat="1" ht="15" customHeight="1" thickTop="1" thickBot="1" x14ac:dyDescent="0.25">
      <c r="A10" s="5"/>
      <c r="B10" s="75"/>
      <c r="C10" s="21"/>
      <c r="D10" s="5"/>
      <c r="E10" s="29"/>
      <c r="F10" s="164"/>
      <c r="G10" s="69"/>
      <c r="H10" s="69"/>
      <c r="I10" s="30">
        <f t="shared" ref="I10:I35" si="0">SUM(G10+H10)</f>
        <v>0</v>
      </c>
      <c r="J10" s="31"/>
    </row>
    <row r="11" spans="1:11" s="32" customFormat="1" ht="15" customHeight="1" thickTop="1" thickBot="1" x14ac:dyDescent="0.25">
      <c r="A11" s="5"/>
      <c r="B11" s="75"/>
      <c r="C11" s="21"/>
      <c r="D11" s="5"/>
      <c r="E11" s="29"/>
      <c r="F11" s="164"/>
      <c r="G11" s="69"/>
      <c r="H11" s="69"/>
      <c r="I11" s="30">
        <f t="shared" si="0"/>
        <v>0</v>
      </c>
      <c r="J11" s="31"/>
    </row>
    <row r="12" spans="1:11" s="32" customFormat="1" ht="15" customHeight="1" thickTop="1" thickBot="1" x14ac:dyDescent="0.25">
      <c r="A12" s="5"/>
      <c r="B12" s="75"/>
      <c r="C12" s="21"/>
      <c r="D12" s="5"/>
      <c r="E12" s="29"/>
      <c r="F12" s="164"/>
      <c r="G12" s="69"/>
      <c r="H12" s="69"/>
      <c r="I12" s="30">
        <f t="shared" si="0"/>
        <v>0</v>
      </c>
      <c r="J12" s="31"/>
    </row>
    <row r="13" spans="1:11" s="32" customFormat="1" ht="15" customHeight="1" thickTop="1" thickBot="1" x14ac:dyDescent="0.25">
      <c r="A13" s="5"/>
      <c r="B13" s="75"/>
      <c r="C13" s="21"/>
      <c r="D13" s="5"/>
      <c r="E13" s="29"/>
      <c r="F13" s="164"/>
      <c r="G13" s="69"/>
      <c r="H13" s="69"/>
      <c r="I13" s="30">
        <f t="shared" si="0"/>
        <v>0</v>
      </c>
      <c r="J13" s="31"/>
    </row>
    <row r="14" spans="1:11" s="32" customFormat="1" ht="15" customHeight="1" thickTop="1" thickBot="1" x14ac:dyDescent="0.25">
      <c r="A14" s="5"/>
      <c r="B14" s="75"/>
      <c r="C14" s="21"/>
      <c r="D14" s="5"/>
      <c r="E14" s="29"/>
      <c r="F14" s="164"/>
      <c r="G14" s="69"/>
      <c r="H14" s="69"/>
      <c r="I14" s="30">
        <f t="shared" si="0"/>
        <v>0</v>
      </c>
      <c r="J14" s="31"/>
    </row>
    <row r="15" spans="1:11" s="32" customFormat="1" ht="15" customHeight="1" thickTop="1" thickBot="1" x14ac:dyDescent="0.25">
      <c r="A15" s="5"/>
      <c r="B15" s="75"/>
      <c r="C15" s="21"/>
      <c r="D15" s="5"/>
      <c r="E15" s="29"/>
      <c r="F15" s="164"/>
      <c r="G15" s="69"/>
      <c r="H15" s="69"/>
      <c r="I15" s="30">
        <f t="shared" si="0"/>
        <v>0</v>
      </c>
      <c r="J15" s="31"/>
    </row>
    <row r="16" spans="1:11" s="32" customFormat="1" ht="15" customHeight="1" thickTop="1" thickBot="1" x14ac:dyDescent="0.25">
      <c r="A16" s="5"/>
      <c r="B16" s="75"/>
      <c r="C16" s="21"/>
      <c r="D16" s="5"/>
      <c r="E16" s="29"/>
      <c r="F16" s="164"/>
      <c r="G16" s="69"/>
      <c r="H16" s="69"/>
      <c r="I16" s="30">
        <f t="shared" si="0"/>
        <v>0</v>
      </c>
      <c r="J16" s="31"/>
    </row>
    <row r="17" spans="1:10" s="32" customFormat="1" ht="15" customHeight="1" thickTop="1" thickBot="1" x14ac:dyDescent="0.25">
      <c r="A17" s="5"/>
      <c r="B17" s="75"/>
      <c r="C17" s="21"/>
      <c r="D17" s="5"/>
      <c r="E17" s="29"/>
      <c r="F17" s="164"/>
      <c r="G17" s="69"/>
      <c r="H17" s="69"/>
      <c r="I17" s="30">
        <f t="shared" si="0"/>
        <v>0</v>
      </c>
      <c r="J17" s="31"/>
    </row>
    <row r="18" spans="1:10" s="32" customFormat="1" ht="15" customHeight="1" thickTop="1" thickBot="1" x14ac:dyDescent="0.25">
      <c r="A18" s="5"/>
      <c r="B18" s="75"/>
      <c r="C18" s="21"/>
      <c r="D18" s="5"/>
      <c r="E18" s="29"/>
      <c r="F18" s="164"/>
      <c r="G18" s="69"/>
      <c r="H18" s="69"/>
      <c r="I18" s="30">
        <f t="shared" si="0"/>
        <v>0</v>
      </c>
      <c r="J18" s="31"/>
    </row>
    <row r="19" spans="1:10" s="32" customFormat="1" ht="15" customHeight="1" thickTop="1" thickBot="1" x14ac:dyDescent="0.25">
      <c r="A19" s="5"/>
      <c r="B19" s="75"/>
      <c r="C19" s="21"/>
      <c r="D19" s="5"/>
      <c r="E19" s="29"/>
      <c r="F19" s="164"/>
      <c r="G19" s="69"/>
      <c r="H19" s="69"/>
      <c r="I19" s="30">
        <f t="shared" si="0"/>
        <v>0</v>
      </c>
      <c r="J19" s="31"/>
    </row>
    <row r="20" spans="1:10" s="32" customFormat="1" ht="15" customHeight="1" thickTop="1" thickBot="1" x14ac:dyDescent="0.25">
      <c r="A20" s="5"/>
      <c r="B20" s="75"/>
      <c r="C20" s="21"/>
      <c r="D20" s="5"/>
      <c r="E20" s="29"/>
      <c r="F20" s="164"/>
      <c r="G20" s="69"/>
      <c r="H20" s="69"/>
      <c r="I20" s="30">
        <f t="shared" si="0"/>
        <v>0</v>
      </c>
      <c r="J20" s="31"/>
    </row>
    <row r="21" spans="1:10" s="32" customFormat="1" ht="15" customHeight="1" thickTop="1" thickBot="1" x14ac:dyDescent="0.25">
      <c r="A21" s="5"/>
      <c r="B21" s="75"/>
      <c r="C21" s="21"/>
      <c r="D21" s="5"/>
      <c r="E21" s="29"/>
      <c r="F21" s="164"/>
      <c r="G21" s="69"/>
      <c r="H21" s="69"/>
      <c r="I21" s="30">
        <f t="shared" si="0"/>
        <v>0</v>
      </c>
      <c r="J21" s="31"/>
    </row>
    <row r="22" spans="1:10" s="32" customFormat="1" ht="15" customHeight="1" thickTop="1" thickBot="1" x14ac:dyDescent="0.25">
      <c r="A22" s="5"/>
      <c r="B22" s="75"/>
      <c r="C22" s="21"/>
      <c r="D22" s="5"/>
      <c r="E22" s="29"/>
      <c r="F22" s="164"/>
      <c r="G22" s="69"/>
      <c r="H22" s="69"/>
      <c r="I22" s="30">
        <f t="shared" si="0"/>
        <v>0</v>
      </c>
      <c r="J22" s="31"/>
    </row>
    <row r="23" spans="1:10" s="32" customFormat="1" ht="15" customHeight="1" thickTop="1" thickBot="1" x14ac:dyDescent="0.25">
      <c r="A23" s="5"/>
      <c r="B23" s="75"/>
      <c r="C23" s="21"/>
      <c r="D23" s="5"/>
      <c r="E23" s="29"/>
      <c r="F23" s="164"/>
      <c r="G23" s="69"/>
      <c r="H23" s="69"/>
      <c r="I23" s="30">
        <f t="shared" si="0"/>
        <v>0</v>
      </c>
      <c r="J23" s="31"/>
    </row>
    <row r="24" spans="1:10" s="32" customFormat="1" ht="15" customHeight="1" thickTop="1" thickBot="1" x14ac:dyDescent="0.25">
      <c r="A24" s="5"/>
      <c r="B24" s="75"/>
      <c r="C24" s="21"/>
      <c r="D24" s="5"/>
      <c r="E24" s="29"/>
      <c r="F24" s="164"/>
      <c r="G24" s="69"/>
      <c r="H24" s="69"/>
      <c r="I24" s="30">
        <f t="shared" si="0"/>
        <v>0</v>
      </c>
      <c r="J24" s="31"/>
    </row>
    <row r="25" spans="1:10" s="32" customFormat="1" ht="15" customHeight="1" thickTop="1" thickBot="1" x14ac:dyDescent="0.25">
      <c r="A25" s="5"/>
      <c r="B25" s="75"/>
      <c r="C25" s="21"/>
      <c r="D25" s="5"/>
      <c r="E25" s="29"/>
      <c r="F25" s="164"/>
      <c r="G25" s="69"/>
      <c r="H25" s="69"/>
      <c r="I25" s="30">
        <f t="shared" si="0"/>
        <v>0</v>
      </c>
      <c r="J25" s="31"/>
    </row>
    <row r="26" spans="1:10" s="32" customFormat="1" ht="15" customHeight="1" thickTop="1" thickBot="1" x14ac:dyDescent="0.25">
      <c r="A26" s="5"/>
      <c r="B26" s="75"/>
      <c r="C26" s="21"/>
      <c r="D26" s="5"/>
      <c r="E26" s="29"/>
      <c r="F26" s="164"/>
      <c r="G26" s="69"/>
      <c r="H26" s="69"/>
      <c r="I26" s="30">
        <f t="shared" si="0"/>
        <v>0</v>
      </c>
      <c r="J26" s="31"/>
    </row>
    <row r="27" spans="1:10" s="32" customFormat="1" ht="15" customHeight="1" thickTop="1" thickBot="1" x14ac:dyDescent="0.25">
      <c r="A27" s="5"/>
      <c r="B27" s="75"/>
      <c r="C27" s="21"/>
      <c r="D27" s="5"/>
      <c r="E27" s="29"/>
      <c r="F27" s="164"/>
      <c r="G27" s="69"/>
      <c r="H27" s="69"/>
      <c r="I27" s="30">
        <f t="shared" si="0"/>
        <v>0</v>
      </c>
      <c r="J27" s="31"/>
    </row>
    <row r="28" spans="1:10" s="32" customFormat="1" ht="15" customHeight="1" thickTop="1" thickBot="1" x14ac:dyDescent="0.25">
      <c r="A28" s="5"/>
      <c r="B28" s="75"/>
      <c r="C28" s="21"/>
      <c r="D28" s="5"/>
      <c r="E28" s="29"/>
      <c r="F28" s="164"/>
      <c r="G28" s="69"/>
      <c r="H28" s="69"/>
      <c r="I28" s="30">
        <f t="shared" si="0"/>
        <v>0</v>
      </c>
      <c r="J28" s="31"/>
    </row>
    <row r="29" spans="1:10" s="32" customFormat="1" ht="15" customHeight="1" thickTop="1" thickBot="1" x14ac:dyDescent="0.25">
      <c r="A29" s="5"/>
      <c r="B29" s="75"/>
      <c r="C29" s="21"/>
      <c r="D29" s="5"/>
      <c r="E29" s="29"/>
      <c r="F29" s="164"/>
      <c r="G29" s="69"/>
      <c r="H29" s="69"/>
      <c r="I29" s="30">
        <f t="shared" si="0"/>
        <v>0</v>
      </c>
      <c r="J29" s="31"/>
    </row>
    <row r="30" spans="1:10" s="32" customFormat="1" ht="15" customHeight="1" thickTop="1" thickBot="1" x14ac:dyDescent="0.25">
      <c r="A30" s="5"/>
      <c r="B30" s="75"/>
      <c r="C30" s="21"/>
      <c r="D30" s="5"/>
      <c r="E30" s="29"/>
      <c r="F30" s="164"/>
      <c r="G30" s="69"/>
      <c r="H30" s="69"/>
      <c r="I30" s="30">
        <f t="shared" si="0"/>
        <v>0</v>
      </c>
      <c r="J30" s="31"/>
    </row>
    <row r="31" spans="1:10" s="32" customFormat="1" ht="15" customHeight="1" thickTop="1" thickBot="1" x14ac:dyDescent="0.25">
      <c r="A31" s="5"/>
      <c r="B31" s="75"/>
      <c r="C31" s="21"/>
      <c r="D31" s="5"/>
      <c r="E31" s="29"/>
      <c r="F31" s="164"/>
      <c r="G31" s="69"/>
      <c r="H31" s="69"/>
      <c r="I31" s="30">
        <f t="shared" si="0"/>
        <v>0</v>
      </c>
      <c r="J31" s="31"/>
    </row>
    <row r="32" spans="1:10" s="32" customFormat="1" ht="15" customHeight="1" thickTop="1" thickBot="1" x14ac:dyDescent="0.25">
      <c r="A32" s="5"/>
      <c r="B32" s="75"/>
      <c r="C32" s="21"/>
      <c r="D32" s="5"/>
      <c r="E32" s="29"/>
      <c r="F32" s="164"/>
      <c r="G32" s="69"/>
      <c r="H32" s="69"/>
      <c r="I32" s="30">
        <f t="shared" si="0"/>
        <v>0</v>
      </c>
      <c r="J32" s="31"/>
    </row>
    <row r="33" spans="1:10" s="32" customFormat="1" ht="15" customHeight="1" thickTop="1" thickBot="1" x14ac:dyDescent="0.25">
      <c r="A33" s="5"/>
      <c r="B33" s="75"/>
      <c r="C33" s="21"/>
      <c r="D33" s="5"/>
      <c r="E33" s="29"/>
      <c r="F33" s="164"/>
      <c r="G33" s="69"/>
      <c r="H33" s="69"/>
      <c r="I33" s="30">
        <f t="shared" si="0"/>
        <v>0</v>
      </c>
      <c r="J33" s="31"/>
    </row>
    <row r="34" spans="1:10" s="32" customFormat="1" ht="15" customHeight="1" thickTop="1" thickBot="1" x14ac:dyDescent="0.25">
      <c r="A34" s="5"/>
      <c r="B34" s="75"/>
      <c r="C34" s="21"/>
      <c r="D34" s="5"/>
      <c r="E34" s="29"/>
      <c r="F34" s="164"/>
      <c r="G34" s="69"/>
      <c r="H34" s="69"/>
      <c r="I34" s="30">
        <f t="shared" si="0"/>
        <v>0</v>
      </c>
      <c r="J34" s="31"/>
    </row>
    <row r="35" spans="1:10" s="32" customFormat="1" ht="15" customHeight="1" thickTop="1" thickBot="1" x14ac:dyDescent="0.25">
      <c r="A35" s="33"/>
      <c r="B35" s="75"/>
      <c r="C35" s="21"/>
      <c r="D35" s="5"/>
      <c r="E35" s="34"/>
      <c r="F35" s="165"/>
      <c r="G35" s="70"/>
      <c r="H35" s="70"/>
      <c r="I35" s="30">
        <f t="shared" si="0"/>
        <v>0</v>
      </c>
      <c r="J35" s="31"/>
    </row>
    <row r="36" spans="1:10" ht="24.95" customHeight="1" thickTop="1" thickBot="1" x14ac:dyDescent="0.25">
      <c r="A36" s="79"/>
      <c r="B36" s="223" t="s">
        <v>29</v>
      </c>
      <c r="C36" s="223"/>
      <c r="D36" s="223"/>
      <c r="E36" s="223"/>
      <c r="F36" s="223"/>
      <c r="G36" s="223"/>
      <c r="H36" s="223"/>
      <c r="I36" s="230"/>
    </row>
    <row r="37" spans="1:10" ht="20.100000000000001" customHeight="1" thickTop="1" thickBot="1" x14ac:dyDescent="0.25">
      <c r="A37" s="80"/>
      <c r="B37" s="224" t="s">
        <v>2</v>
      </c>
      <c r="C37" s="224"/>
      <c r="D37" s="224"/>
      <c r="E37" s="224"/>
      <c r="F37" s="225"/>
      <c r="G37" s="226">
        <f>SUM(I9:I35)</f>
        <v>0</v>
      </c>
      <c r="H37" s="227"/>
      <c r="I37" s="229"/>
    </row>
    <row r="38" spans="1:10" ht="20.100000000000001" customHeight="1" thickTop="1" thickBot="1" x14ac:dyDescent="0.25">
      <c r="A38" s="80"/>
      <c r="B38" s="224" t="s">
        <v>3</v>
      </c>
      <c r="C38" s="224"/>
      <c r="D38" s="224"/>
      <c r="E38" s="224"/>
      <c r="F38" s="225"/>
      <c r="G38" s="226">
        <f>0.21*G37</f>
        <v>0</v>
      </c>
      <c r="H38" s="227"/>
      <c r="I38" s="229"/>
    </row>
    <row r="39" spans="1:10" ht="20.100000000000001" customHeight="1" thickTop="1" thickBot="1" x14ac:dyDescent="0.25">
      <c r="A39" s="80"/>
      <c r="B39" s="224" t="s">
        <v>32</v>
      </c>
      <c r="C39" s="224"/>
      <c r="D39" s="224"/>
      <c r="E39" s="224"/>
      <c r="F39" s="225"/>
      <c r="G39" s="226">
        <f>SUM(G37:XFD38)</f>
        <v>0</v>
      </c>
      <c r="H39" s="227"/>
      <c r="I39" s="229"/>
    </row>
  </sheetData>
  <sheetProtection formatCells="0" formatColumns="0" formatRows="0" insertColumns="0" insertRows="0" insertHyperlinks="0" deleteColumns="0" deleteRows="0" sort="0" autoFilter="0" pivotTables="0"/>
  <mergeCells count="17">
    <mergeCell ref="B38:F38"/>
    <mergeCell ref="G38:I38"/>
    <mergeCell ref="B39:F39"/>
    <mergeCell ref="G39:I39"/>
    <mergeCell ref="A5:C5"/>
    <mergeCell ref="E5:I5"/>
    <mergeCell ref="A6:I6"/>
    <mergeCell ref="B7:I7"/>
    <mergeCell ref="B36:I36"/>
    <mergeCell ref="B37:F37"/>
    <mergeCell ref="G37:I37"/>
    <mergeCell ref="A2:C2"/>
    <mergeCell ref="E2:I2"/>
    <mergeCell ref="A3:C3"/>
    <mergeCell ref="E3:I3"/>
    <mergeCell ref="A4:C4"/>
    <mergeCell ref="E4:I4"/>
  </mergeCells>
  <hyperlinks>
    <hyperlink ref="A6:I6" location="INDEX!A1" display="RETIRO DE DAPSA" xr:uid="{4B5DFCB0-E5E0-47BF-B89D-643202CA8A04}"/>
  </hyperlinks>
  <pageMargins left="0.39370078740157483" right="0" top="0.51181102362204722" bottom="0.15748031496062992" header="0" footer="0"/>
  <pageSetup scale="53" orientation="portrait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57AED5-FD5B-42DD-9C5E-856A83957A0F}">
          <x14:formula1>
            <xm:f>BDCHOFERES!$A$2:$A$100</xm:f>
          </x14:formula1>
          <xm:sqref>A9:A35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M50"/>
  <sheetViews>
    <sheetView zoomScale="110" zoomScaleNormal="110" workbookViewId="0">
      <selection activeCell="B22" sqref="B22"/>
    </sheetView>
  </sheetViews>
  <sheetFormatPr baseColWidth="10" defaultColWidth="0" defaultRowHeight="12.75" zeroHeight="1" x14ac:dyDescent="0.2"/>
  <cols>
    <col min="1" max="1" width="35.42578125" style="113" customWidth="1"/>
    <col min="2" max="2" width="18" style="32" customWidth="1"/>
    <col min="3" max="3" width="12.7109375" style="116" customWidth="1"/>
    <col min="4" max="4" width="23" style="116" customWidth="1"/>
    <col min="5" max="5" width="12.5703125" style="116" customWidth="1"/>
    <col min="6" max="6" width="8" style="116" customWidth="1"/>
    <col min="7" max="7" width="11.140625" style="116" customWidth="1"/>
    <col min="8" max="8" width="13.140625" style="116" customWidth="1"/>
    <col min="9" max="12" width="11.42578125" style="116" customWidth="1"/>
    <col min="13" max="13" width="11.42578125" style="113" hidden="1" customWidth="1"/>
    <col min="14" max="16384" width="4.28515625" style="113" hidden="1"/>
  </cols>
  <sheetData>
    <row r="1" spans="1:12" x14ac:dyDescent="0.2">
      <c r="A1" s="147" t="s">
        <v>85</v>
      </c>
      <c r="B1" s="116"/>
    </row>
    <row r="2" spans="1:12" x14ac:dyDescent="0.2">
      <c r="A2" s="116"/>
      <c r="B2" s="116"/>
    </row>
    <row r="3" spans="1:12" x14ac:dyDescent="0.2">
      <c r="A3" s="116"/>
      <c r="B3" s="116"/>
    </row>
    <row r="4" spans="1:12" x14ac:dyDescent="0.2">
      <c r="A4" s="116"/>
      <c r="B4" s="116"/>
    </row>
    <row r="5" spans="1:12" x14ac:dyDescent="0.2">
      <c r="A5" s="116"/>
      <c r="B5" s="116"/>
    </row>
    <row r="6" spans="1:12" x14ac:dyDescent="0.2">
      <c r="A6" s="116"/>
      <c r="B6" s="116"/>
    </row>
    <row r="7" spans="1:12" x14ac:dyDescent="0.2">
      <c r="A7" s="116"/>
      <c r="B7" s="116"/>
    </row>
    <row r="8" spans="1:12" ht="24" customHeight="1" thickBot="1" x14ac:dyDescent="0.25">
      <c r="A8" s="146" t="s">
        <v>64</v>
      </c>
      <c r="B8" s="146" t="s">
        <v>4</v>
      </c>
      <c r="D8" s="134"/>
      <c r="E8" s="134"/>
      <c r="F8" s="134"/>
      <c r="G8" s="134"/>
      <c r="H8" s="134"/>
      <c r="I8" s="134"/>
      <c r="J8" s="134"/>
      <c r="K8" s="134"/>
      <c r="L8" s="134"/>
    </row>
    <row r="9" spans="1:12" s="138" customFormat="1" ht="24.95" customHeight="1" thickBot="1" x14ac:dyDescent="0.25">
      <c r="A9" s="139" t="s">
        <v>13</v>
      </c>
      <c r="B9" s="137">
        <f>SUMIF(LISTA[TIPO DE VIAJE],"CORDOBA",LISTA[VALOR FINAL])</f>
        <v>0</v>
      </c>
      <c r="C9" s="135"/>
      <c r="D9" s="133"/>
      <c r="E9" s="133"/>
      <c r="F9" s="135"/>
      <c r="G9" s="135"/>
      <c r="H9" s="135"/>
      <c r="I9" s="135"/>
      <c r="J9" s="135"/>
      <c r="K9" s="135"/>
      <c r="L9" s="135"/>
    </row>
    <row r="10" spans="1:12" s="138" customFormat="1" ht="24.95" customHeight="1" thickBot="1" x14ac:dyDescent="0.25">
      <c r="A10" s="136" t="s">
        <v>79</v>
      </c>
      <c r="B10" s="137">
        <f>SUMIF(LISTA[TIPO DE VIAJE],"DESPACHOS DESDE PLANTAS",LISTA[VALOR FINAL])</f>
        <v>0</v>
      </c>
      <c r="C10" s="135"/>
      <c r="D10" s="133"/>
      <c r="E10" s="133"/>
      <c r="F10" s="133"/>
      <c r="G10" s="133"/>
      <c r="H10" s="133"/>
      <c r="I10" s="135"/>
      <c r="J10" s="135"/>
      <c r="K10" s="135"/>
      <c r="L10" s="135"/>
    </row>
    <row r="11" spans="1:12" s="138" customFormat="1" ht="24.95" customHeight="1" thickBot="1" x14ac:dyDescent="0.25">
      <c r="A11" s="136" t="s">
        <v>16</v>
      </c>
      <c r="B11" s="137">
        <f>SUMIF(LISTA[TIPO DE VIAJE],"DEVOLUCIONES",LISTA[VALOR FINAL])</f>
        <v>2058.1999999999998</v>
      </c>
      <c r="C11" s="135"/>
      <c r="D11" s="133"/>
      <c r="E11" s="133"/>
      <c r="F11" s="133"/>
      <c r="G11" s="133"/>
      <c r="H11" s="133"/>
      <c r="I11" s="135"/>
      <c r="J11" s="135"/>
      <c r="K11" s="135"/>
      <c r="L11" s="135"/>
    </row>
    <row r="12" spans="1:12" s="138" customFormat="1" ht="24.95" customHeight="1" thickBot="1" x14ac:dyDescent="0.25">
      <c r="A12" s="136" t="s">
        <v>76</v>
      </c>
      <c r="B12" s="137">
        <f>SUMIF(LISTA[TIPO DE VIAJE],"ENVIOS A PLANTAS",LISTA[VALOR FINAL])</f>
        <v>284971.09999999998</v>
      </c>
      <c r="C12" s="135"/>
      <c r="D12" s="133"/>
      <c r="E12" s="133"/>
      <c r="F12" s="133"/>
      <c r="G12" s="133"/>
      <c r="H12" s="133"/>
      <c r="I12" s="135"/>
      <c r="J12" s="135"/>
      <c r="K12" s="135"/>
      <c r="L12" s="135"/>
    </row>
    <row r="13" spans="1:12" s="138" customFormat="1" ht="24.95" customHeight="1" thickBot="1" x14ac:dyDescent="0.25">
      <c r="A13" s="139" t="s">
        <v>183</v>
      </c>
      <c r="B13" s="137">
        <f>SUMIF(LISTA[TIPO DE VIAJE],"INGRESOS",LISTA[VALOR FINAL])</f>
        <v>0</v>
      </c>
      <c r="C13" s="135"/>
      <c r="D13" s="133"/>
      <c r="E13" s="133"/>
      <c r="F13" s="133"/>
      <c r="G13" s="133"/>
      <c r="H13" s="133"/>
      <c r="I13" s="135"/>
      <c r="J13" s="135"/>
      <c r="K13" s="135"/>
      <c r="L13" s="135"/>
    </row>
    <row r="14" spans="1:12" s="138" customFormat="1" ht="24.95" customHeight="1" thickBot="1" x14ac:dyDescent="0.25">
      <c r="A14" s="139" t="s">
        <v>184</v>
      </c>
      <c r="B14" s="137">
        <f>SUMIF(LISTA[TIPO DE VIAJE],"INGRESOS DE PUERTO",LISTA[VALOR FINAL])</f>
        <v>171610.2</v>
      </c>
      <c r="C14" s="135"/>
      <c r="D14" s="133"/>
      <c r="E14" s="133"/>
      <c r="F14" s="133"/>
      <c r="G14" s="133"/>
      <c r="H14" s="133"/>
      <c r="I14" s="135"/>
      <c r="J14" s="135"/>
      <c r="K14" s="135"/>
      <c r="L14" s="135"/>
    </row>
    <row r="15" spans="1:12" s="138" customFormat="1" ht="24.95" customHeight="1" thickBot="1" x14ac:dyDescent="0.25">
      <c r="A15" s="136" t="s">
        <v>18</v>
      </c>
      <c r="B15" s="137">
        <f>SUMIF(LISTA[TIPO DE VIAJE],"INSUMOS",LISTA[VALOR FINAL])</f>
        <v>30520</v>
      </c>
      <c r="C15" s="135"/>
      <c r="D15" s="133"/>
      <c r="E15" s="133"/>
      <c r="F15" s="133"/>
      <c r="G15" s="133"/>
      <c r="H15" s="133"/>
      <c r="I15" s="135"/>
      <c r="J15" s="135"/>
      <c r="K15" s="135"/>
      <c r="L15" s="135"/>
    </row>
    <row r="16" spans="1:12" s="138" customFormat="1" ht="24.95" customHeight="1" thickBot="1" x14ac:dyDescent="0.25">
      <c r="A16" s="139" t="s">
        <v>8</v>
      </c>
      <c r="B16" s="137">
        <f>SUMIF(LISTA[TIPO DE VIAJE],"MUDANZA",LISTA[VALOR FINAL])</f>
        <v>0</v>
      </c>
      <c r="C16" s="135"/>
      <c r="D16" s="133"/>
      <c r="E16" s="133"/>
      <c r="F16" s="133"/>
      <c r="G16" s="133"/>
      <c r="H16" s="133"/>
      <c r="I16" s="135"/>
      <c r="J16" s="135"/>
      <c r="K16" s="135"/>
      <c r="L16" s="135"/>
    </row>
    <row r="17" spans="1:12" s="138" customFormat="1" ht="24.95" customHeight="1" thickBot="1" x14ac:dyDescent="0.25">
      <c r="A17" s="139" t="s">
        <v>185</v>
      </c>
      <c r="B17" s="137">
        <f>SUMIF(LISTA[TIPO DE VIAJE],"PUERTO-PIBERA",LISTA[VALOR FINAL])</f>
        <v>0</v>
      </c>
      <c r="C17" s="135"/>
      <c r="D17" s="133"/>
      <c r="E17" s="133"/>
      <c r="F17" s="133"/>
      <c r="G17" s="133"/>
      <c r="H17" s="133"/>
      <c r="I17" s="135"/>
      <c r="J17" s="135"/>
      <c r="K17" s="135"/>
      <c r="L17" s="135"/>
    </row>
    <row r="18" spans="1:12" s="138" customFormat="1" ht="24.95" customHeight="1" thickBot="1" x14ac:dyDescent="0.25">
      <c r="A18" s="139" t="s">
        <v>17</v>
      </c>
      <c r="B18" s="137">
        <f>SUMIF(LISTA[TIPO DE VIAJE],"ESPECIALES",LISTA[VALOR FINAL])</f>
        <v>30520</v>
      </c>
      <c r="C18" s="135"/>
      <c r="D18" s="133"/>
      <c r="E18" s="133"/>
      <c r="F18" s="133"/>
      <c r="G18" s="133"/>
      <c r="H18" s="133"/>
      <c r="I18" s="135"/>
      <c r="J18" s="135"/>
      <c r="K18" s="135"/>
      <c r="L18" s="135"/>
    </row>
    <row r="19" spans="1:12" s="138" customFormat="1" ht="24.95" customHeight="1" thickBot="1" x14ac:dyDescent="0.25">
      <c r="A19" s="136" t="s">
        <v>82</v>
      </c>
      <c r="B19" s="137">
        <f>SUMIF(LISTA[TIPO DE VIAJE],"INGRESOS DESDE PLANTAS",LISTA[VALOR FINAL])</f>
        <v>732310.69999999984</v>
      </c>
      <c r="C19" s="135"/>
      <c r="D19" s="133"/>
      <c r="E19" s="133"/>
      <c r="F19" s="133"/>
      <c r="G19" s="133"/>
      <c r="H19" s="133"/>
      <c r="I19" s="135"/>
      <c r="J19" s="135"/>
      <c r="K19" s="135"/>
      <c r="L19" s="135"/>
    </row>
    <row r="20" spans="1:12" s="138" customFormat="1" ht="24.95" customHeight="1" thickBot="1" x14ac:dyDescent="0.25">
      <c r="A20" s="136" t="s">
        <v>14</v>
      </c>
      <c r="B20" s="137">
        <f>SUMIF(LISTA[TIPO DE VIAJE],"DESPACHOS",LISTA[VALOR FINAL])</f>
        <v>3851869.3038999969</v>
      </c>
      <c r="C20" s="135"/>
      <c r="D20" s="133"/>
      <c r="E20" s="133"/>
      <c r="F20" s="133"/>
      <c r="G20" s="133"/>
      <c r="H20" s="133"/>
      <c r="I20" s="135"/>
      <c r="J20" s="135"/>
      <c r="K20" s="135"/>
      <c r="L20" s="135"/>
    </row>
    <row r="21" spans="1:12" s="138" customFormat="1" ht="24.95" customHeight="1" thickBot="1" x14ac:dyDescent="0.25">
      <c r="A21" s="136" t="s">
        <v>15</v>
      </c>
      <c r="B21" s="137">
        <f>SUMIF(LISTA[TIPO DE VIAJE],"PUERTO",LISTA[VALOR FINAL])</f>
        <v>5129902.9199999832</v>
      </c>
      <c r="C21" s="135"/>
      <c r="D21" s="133"/>
      <c r="E21" s="133"/>
      <c r="F21" s="135"/>
      <c r="G21" s="135"/>
      <c r="H21" s="135"/>
      <c r="I21" s="135"/>
      <c r="J21" s="135"/>
      <c r="K21" s="135"/>
      <c r="L21" s="135"/>
    </row>
    <row r="22" spans="1:12" s="40" customFormat="1" ht="27" customHeight="1" thickBot="1" x14ac:dyDescent="0.25">
      <c r="A22" s="179" t="s">
        <v>86</v>
      </c>
      <c r="B22" s="181">
        <f>SUM(B8:B21)</f>
        <v>10233762.42389998</v>
      </c>
      <c r="C22" s="117"/>
      <c r="D22" s="133"/>
      <c r="E22" s="133"/>
      <c r="F22" s="117"/>
      <c r="G22" s="117"/>
      <c r="H22" s="117"/>
      <c r="I22" s="117"/>
      <c r="J22" s="117"/>
      <c r="K22" s="117"/>
      <c r="L22" s="117"/>
    </row>
    <row r="23" spans="1:12" ht="24.95" hidden="1" customHeight="1" thickBot="1" x14ac:dyDescent="0.25">
      <c r="A23" s="180"/>
      <c r="B23" s="182"/>
      <c r="D23" s="133"/>
      <c r="E23" s="133"/>
    </row>
    <row r="24" spans="1:12" ht="13.5" thickBot="1" x14ac:dyDescent="0.25">
      <c r="A24" s="114"/>
      <c r="B24" s="115"/>
      <c r="D24" s="133"/>
      <c r="E24" s="133"/>
    </row>
    <row r="25" spans="1:12" ht="24.95" customHeight="1" thickBot="1" x14ac:dyDescent="0.25">
      <c r="A25" s="262" t="s">
        <v>70</v>
      </c>
      <c r="B25" s="263"/>
      <c r="D25" s="133"/>
      <c r="E25" s="133"/>
    </row>
    <row r="26" spans="1:12" ht="24.95" customHeight="1" thickBot="1" x14ac:dyDescent="0.25">
      <c r="A26" s="262" t="s">
        <v>68</v>
      </c>
      <c r="B26" s="263"/>
      <c r="D26" s="133"/>
      <c r="E26" s="133"/>
    </row>
    <row r="27" spans="1:12" ht="24.95" customHeight="1" thickBot="1" x14ac:dyDescent="0.25">
      <c r="A27" s="262" t="s">
        <v>69</v>
      </c>
      <c r="B27" s="263"/>
      <c r="D27" s="133"/>
      <c r="E27" s="133"/>
    </row>
    <row r="28" spans="1:12" ht="24.95" customHeight="1" thickBot="1" x14ac:dyDescent="0.25">
      <c r="A28" s="262" t="s">
        <v>65</v>
      </c>
      <c r="B28" s="263"/>
      <c r="D28" s="133"/>
      <c r="E28" s="133"/>
    </row>
    <row r="29" spans="1:12" ht="24.95" customHeight="1" thickBot="1" x14ac:dyDescent="0.25">
      <c r="A29" s="262" t="s">
        <v>66</v>
      </c>
      <c r="B29" s="263"/>
      <c r="D29" s="133"/>
      <c r="E29" s="133"/>
    </row>
    <row r="30" spans="1:12" ht="24.95" customHeight="1" thickBot="1" x14ac:dyDescent="0.25">
      <c r="A30" s="262" t="s">
        <v>67</v>
      </c>
      <c r="B30" s="263"/>
      <c r="D30" s="133"/>
      <c r="E30" s="133"/>
    </row>
    <row r="31" spans="1:12" s="119" customFormat="1" x14ac:dyDescent="0.2">
      <c r="A31" s="128"/>
      <c r="B31" s="129"/>
      <c r="C31" s="128"/>
      <c r="D31" s="131"/>
      <c r="E31" s="131"/>
      <c r="F31" s="128"/>
      <c r="G31" s="128"/>
      <c r="H31" s="128"/>
      <c r="I31" s="128"/>
      <c r="J31" s="128"/>
      <c r="K31" s="128"/>
      <c r="L31" s="128"/>
    </row>
    <row r="32" spans="1:12" s="119" customFormat="1" x14ac:dyDescent="0.2">
      <c r="A32" s="128"/>
      <c r="B32" s="129"/>
      <c r="C32" s="128"/>
      <c r="D32" s="131"/>
      <c r="E32" s="131"/>
      <c r="F32" s="128"/>
      <c r="G32" s="128"/>
      <c r="H32" s="128"/>
      <c r="I32" s="128"/>
      <c r="J32" s="128"/>
      <c r="K32" s="128"/>
      <c r="L32" s="128"/>
    </row>
    <row r="33" spans="1:12" ht="12.75" customHeight="1" x14ac:dyDescent="0.2">
      <c r="A33" s="130"/>
      <c r="B33" s="132"/>
      <c r="C33" s="130"/>
      <c r="D33" s="131"/>
      <c r="E33" s="131"/>
      <c r="F33" s="130"/>
      <c r="G33" s="130"/>
      <c r="H33" s="130"/>
      <c r="I33" s="130"/>
      <c r="J33" s="130"/>
      <c r="K33" s="130"/>
      <c r="L33" s="130"/>
    </row>
    <row r="34" spans="1:12" ht="13.5" customHeight="1" x14ac:dyDescent="0.2">
      <c r="A34" s="130"/>
      <c r="B34" s="132"/>
      <c r="C34" s="130"/>
      <c r="D34" s="131"/>
      <c r="E34" s="131"/>
      <c r="F34" s="130"/>
      <c r="G34" s="130"/>
      <c r="H34" s="130"/>
      <c r="I34" s="130"/>
      <c r="J34" s="130"/>
      <c r="K34" s="130"/>
      <c r="L34" s="130"/>
    </row>
    <row r="35" spans="1:12" ht="13.5" customHeight="1" x14ac:dyDescent="0.2">
      <c r="A35" s="130"/>
      <c r="B35" s="132"/>
      <c r="C35" s="130"/>
      <c r="D35" s="131"/>
      <c r="E35" s="131"/>
      <c r="F35" s="130"/>
      <c r="G35" s="130"/>
      <c r="H35" s="130"/>
      <c r="I35" s="130"/>
      <c r="J35" s="130"/>
      <c r="K35" s="130"/>
      <c r="L35" s="130"/>
    </row>
    <row r="36" spans="1:12" ht="13.5" customHeight="1" x14ac:dyDescent="0.2">
      <c r="A36" s="130"/>
      <c r="B36" s="132"/>
      <c r="C36" s="130"/>
      <c r="D36" s="131"/>
      <c r="E36" s="131"/>
      <c r="F36" s="130"/>
      <c r="G36" s="130"/>
      <c r="H36" s="130"/>
      <c r="I36" s="130"/>
      <c r="J36" s="130"/>
      <c r="K36" s="130"/>
      <c r="L36" s="130"/>
    </row>
    <row r="37" spans="1:12" ht="12.75" customHeight="1" x14ac:dyDescent="0.2">
      <c r="A37" s="130"/>
      <c r="B37" s="132"/>
      <c r="C37" s="130"/>
      <c r="D37" s="131"/>
      <c r="E37" s="131"/>
      <c r="F37" s="130"/>
      <c r="G37" s="130"/>
      <c r="H37" s="130"/>
      <c r="I37" s="130"/>
      <c r="J37" s="130"/>
      <c r="K37" s="130"/>
      <c r="L37" s="130"/>
    </row>
    <row r="38" spans="1:12" ht="13.5" customHeight="1" x14ac:dyDescent="0.2">
      <c r="A38" s="130"/>
      <c r="B38" s="132"/>
      <c r="C38" s="130"/>
      <c r="D38" s="131"/>
      <c r="E38" s="131"/>
      <c r="F38" s="130"/>
      <c r="G38" s="130"/>
      <c r="H38" s="130"/>
      <c r="I38" s="130"/>
      <c r="J38" s="130"/>
      <c r="K38" s="130"/>
      <c r="L38" s="130"/>
    </row>
    <row r="39" spans="1:12" ht="12.75" customHeight="1" x14ac:dyDescent="0.2">
      <c r="A39" s="130"/>
      <c r="B39" s="132"/>
      <c r="C39" s="130"/>
      <c r="D39" s="130"/>
      <c r="E39" s="130"/>
      <c r="F39" s="130"/>
      <c r="G39" s="130"/>
      <c r="H39" s="130"/>
      <c r="I39" s="130"/>
      <c r="J39" s="130"/>
      <c r="K39" s="130"/>
      <c r="L39" s="130"/>
    </row>
    <row r="40" spans="1:12" ht="13.5" customHeight="1" x14ac:dyDescent="0.2">
      <c r="A40" s="130"/>
      <c r="B40" s="132"/>
      <c r="C40" s="130"/>
      <c r="D40" s="130"/>
      <c r="E40" s="130"/>
      <c r="F40" s="130"/>
      <c r="G40" s="130"/>
      <c r="H40" s="130"/>
      <c r="I40" s="130"/>
      <c r="J40" s="130"/>
      <c r="K40" s="130"/>
      <c r="L40" s="130"/>
    </row>
    <row r="41" spans="1:12" ht="12.75" customHeight="1" x14ac:dyDescent="0.2">
      <c r="A41" s="130"/>
      <c r="B41" s="132"/>
      <c r="C41" s="130"/>
      <c r="D41" s="130"/>
      <c r="E41" s="130"/>
      <c r="F41" s="130"/>
      <c r="G41" s="130"/>
      <c r="H41" s="130"/>
      <c r="I41" s="130"/>
      <c r="J41" s="130"/>
      <c r="K41" s="130"/>
      <c r="L41" s="130"/>
    </row>
    <row r="42" spans="1:12" x14ac:dyDescent="0.2">
      <c r="A42" s="130"/>
      <c r="B42" s="132"/>
      <c r="C42" s="130"/>
      <c r="D42" s="130"/>
      <c r="E42" s="130"/>
      <c r="F42" s="130"/>
      <c r="G42" s="130"/>
      <c r="H42" s="130"/>
      <c r="I42" s="130"/>
      <c r="J42" s="130"/>
      <c r="K42" s="130"/>
      <c r="L42" s="130"/>
    </row>
    <row r="43" spans="1:12" x14ac:dyDescent="0.2">
      <c r="A43" s="130"/>
      <c r="B43" s="132"/>
      <c r="C43" s="130"/>
      <c r="D43" s="130"/>
      <c r="E43" s="130"/>
      <c r="F43" s="130"/>
      <c r="G43" s="130"/>
      <c r="H43" s="130"/>
      <c r="I43" s="130"/>
      <c r="J43" s="130"/>
      <c r="K43" s="130"/>
      <c r="L43" s="130"/>
    </row>
    <row r="44" spans="1:12" x14ac:dyDescent="0.2">
      <c r="A44" s="130"/>
      <c r="B44" s="132"/>
      <c r="C44" s="130"/>
      <c r="D44" s="130"/>
      <c r="E44" s="130"/>
      <c r="F44" s="130"/>
      <c r="G44" s="130"/>
      <c r="H44" s="130"/>
      <c r="I44" s="130"/>
      <c r="J44" s="130"/>
      <c r="K44" s="130"/>
      <c r="L44" s="130"/>
    </row>
    <row r="45" spans="1:12" x14ac:dyDescent="0.2">
      <c r="A45" s="130"/>
      <c r="B45" s="132"/>
      <c r="C45" s="130"/>
      <c r="D45" s="130"/>
      <c r="E45" s="130"/>
      <c r="F45" s="130"/>
      <c r="G45" s="130"/>
      <c r="H45" s="130"/>
      <c r="I45" s="130"/>
      <c r="J45" s="130"/>
      <c r="K45" s="130"/>
      <c r="L45" s="130"/>
    </row>
    <row r="46" spans="1:12" x14ac:dyDescent="0.2">
      <c r="A46" s="130"/>
      <c r="B46" s="132"/>
      <c r="C46" s="130"/>
      <c r="D46" s="130"/>
      <c r="E46" s="130"/>
      <c r="F46" s="130"/>
      <c r="G46" s="130"/>
      <c r="H46" s="130"/>
      <c r="I46" s="130"/>
      <c r="J46" s="130"/>
      <c r="K46" s="130"/>
      <c r="L46" s="130"/>
    </row>
    <row r="47" spans="1:12" x14ac:dyDescent="0.2">
      <c r="A47" s="130"/>
      <c r="B47" s="132"/>
      <c r="C47" s="130"/>
      <c r="D47" s="130"/>
      <c r="E47" s="130"/>
      <c r="F47" s="130"/>
      <c r="G47" s="130"/>
      <c r="H47" s="130"/>
      <c r="I47" s="130"/>
      <c r="J47" s="130"/>
      <c r="K47" s="130"/>
      <c r="L47" s="130"/>
    </row>
    <row r="48" spans="1:12" x14ac:dyDescent="0.2">
      <c r="A48" s="130"/>
      <c r="B48" s="132"/>
      <c r="C48" s="130"/>
      <c r="D48" s="130"/>
      <c r="E48" s="130"/>
      <c r="F48" s="130"/>
      <c r="G48" s="130"/>
      <c r="H48" s="130"/>
      <c r="I48" s="130"/>
      <c r="J48" s="130"/>
      <c r="K48" s="130"/>
      <c r="L48" s="130"/>
    </row>
    <row r="49" spans="1:12" x14ac:dyDescent="0.2">
      <c r="A49" s="130"/>
      <c r="B49" s="132"/>
      <c r="C49" s="130"/>
      <c r="D49" s="130"/>
      <c r="E49" s="130"/>
      <c r="F49" s="130"/>
      <c r="G49" s="130"/>
      <c r="H49" s="130"/>
      <c r="I49" s="130"/>
      <c r="J49" s="130"/>
      <c r="K49" s="130"/>
      <c r="L49" s="130"/>
    </row>
    <row r="50" spans="1:12" hidden="1" x14ac:dyDescent="0.2">
      <c r="A50" s="130"/>
      <c r="B50" s="132"/>
      <c r="C50" s="130"/>
      <c r="D50" s="130"/>
      <c r="E50" s="130"/>
      <c r="F50" s="130"/>
      <c r="G50" s="130"/>
      <c r="H50" s="130"/>
      <c r="I50" s="130"/>
      <c r="J50" s="130"/>
      <c r="K50" s="130"/>
      <c r="L50" s="13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41:B43">
    <sortCondition ref="A41"/>
  </sortState>
  <mergeCells count="6">
    <mergeCell ref="A30:B30"/>
    <mergeCell ref="A25:B25"/>
    <mergeCell ref="A26:B26"/>
    <mergeCell ref="A27:B27"/>
    <mergeCell ref="A28:B28"/>
    <mergeCell ref="A29:B29"/>
  </mergeCells>
  <conditionalFormatting sqref="B9:B23">
    <cfRule type="cellIs" dxfId="119" priority="78" operator="greaterThan">
      <formula>0</formula>
    </cfRule>
  </conditionalFormatting>
  <conditionalFormatting sqref="B24">
    <cfRule type="cellIs" dxfId="118" priority="1" operator="greaterThan">
      <formula>0</formula>
    </cfRule>
  </conditionalFormatting>
  <hyperlinks>
    <hyperlink ref="A15" location="INSUMOS!A1" display="INSUMOS" xr:uid="{00000000-0004-0000-1900-000000000000}"/>
    <hyperlink ref="A12" location="'ENVIOS A PLANTAS'!A1" display="ENVIOS A PLANTAS" xr:uid="{00000000-0004-0000-1900-000001000000}"/>
    <hyperlink ref="A20" location="DESPACHOS!A1" display="DESPACHOS" xr:uid="{00000000-0004-0000-1900-000002000000}"/>
    <hyperlink ref="A21" location="PUERTO!A1" display="PUERTO" xr:uid="{00000000-0004-0000-1900-000003000000}"/>
    <hyperlink ref="A16" location="MUDANZA!A1" display="MUDANZA" xr:uid="{00000000-0004-0000-1900-000004000000}"/>
    <hyperlink ref="A11" location="DEVOLUCIONES!A1" display="DEVOLUCIONES" xr:uid="{00000000-0004-0000-1900-000005000000}"/>
    <hyperlink ref="A19" location="'INGRESOS DESDE PLANTAS'!A1" display="INGRESOS DESDE PLANTAS" xr:uid="{00000000-0004-0000-1900-000012000000}"/>
    <hyperlink ref="A9" location="CORDOBA!A1" display="CORDOBA" xr:uid="{00000000-0004-0000-1900-000037000000}"/>
    <hyperlink ref="A18" location="ESPECIALES!A1" display="ESPECIALES" xr:uid="{09D706CC-C1A2-48CB-8B15-47C730E59808}"/>
    <hyperlink ref="A28:B28" location="BDEXPRESOS!A1" display="BDEXPRESOS" xr:uid="{D1DBCC09-3D17-4B01-8C3C-F275A5F391CF}"/>
    <hyperlink ref="A26:B26" location="VIAJESaEXPRESOS!A1" display="SEGUIMIENTO EXPRESOS" xr:uid="{9E4AD6A9-3022-4BD6-81C8-981F3D7256F6}"/>
    <hyperlink ref="A27:B27" location="RENTABILIDAD!A1" display="RENTABILIDAD" xr:uid="{A72AFE38-3015-4A58-9C4A-CBD107B3DA2A}"/>
    <hyperlink ref="A29:B29" location="BDCHOFERES!A1" display="BDCHOFERES" xr:uid="{9B9CF295-71F6-4007-8963-8CEF4CBC066D}"/>
    <hyperlink ref="A30:B30" location="BDCLIENTES!A1" display="CBCLIENTES" xr:uid="{AF8ECBD4-AADB-4DCE-8EC8-0A7F084958AF}"/>
    <hyperlink ref="A25:B25" location="BDVIAJES!A1" display="BDVIAJES" xr:uid="{F72B2F2D-6527-46A4-8889-A1DFC32E27BC}"/>
    <hyperlink ref="A13" location="INGRESOS!A1" display="INGRESOS" xr:uid="{06879A07-9563-434D-BF61-C8680C594EBB}"/>
    <hyperlink ref="A14" location="'INGRESOS DE PUERTO'!A1" display="INGRESOS DE PUERTO" xr:uid="{CBC1EE4F-7C53-4A17-8D6F-0C7F70DADD88}"/>
    <hyperlink ref="A17" location="'PUERTO-PIBERA'!A1" display="PUERTO-PIBERA" xr:uid="{849DE7AC-17FB-41D9-A9E2-06072BC8A834}"/>
  </hyperlinks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47DEF-36F2-40F2-921C-F1965264534A}">
  <sheetPr codeName="Hoja28">
    <pageSetUpPr fitToPage="1"/>
  </sheetPr>
  <dimension ref="A1:T983"/>
  <sheetViews>
    <sheetView zoomScaleNormal="100" workbookViewId="0">
      <selection activeCell="A3" sqref="A3:E14"/>
    </sheetView>
  </sheetViews>
  <sheetFormatPr baseColWidth="10" defaultRowHeight="12.75" x14ac:dyDescent="0.2"/>
  <cols>
    <col min="1" max="1" width="28.85546875" style="11" bestFit="1" customWidth="1"/>
    <col min="2" max="2" width="13.7109375" style="11" customWidth="1"/>
    <col min="3" max="3" width="27.42578125" style="11" customWidth="1"/>
    <col min="4" max="4" width="34.42578125" style="11" customWidth="1"/>
    <col min="5" max="5" width="45.7109375" style="11" customWidth="1"/>
    <col min="6" max="6" width="29.85546875" style="11" bestFit="1" customWidth="1"/>
    <col min="7" max="8" width="27.5703125" style="11" customWidth="1"/>
    <col min="9" max="9" width="33.42578125" style="11" bestFit="1" customWidth="1"/>
    <col min="10" max="10" width="22.28515625" style="11" customWidth="1"/>
    <col min="11" max="11" width="23.42578125" style="12" customWidth="1"/>
    <col min="12" max="12" width="30.7109375" style="12" customWidth="1"/>
    <col min="13" max="17" width="25" style="12" customWidth="1"/>
    <col min="18" max="20" width="25" style="184" customWidth="1"/>
  </cols>
  <sheetData>
    <row r="1" spans="1:20" ht="68.25" customHeight="1" thickBot="1" x14ac:dyDescent="0.25">
      <c r="C1" s="11" t="s">
        <v>63</v>
      </c>
      <c r="D1" s="264" t="s">
        <v>36</v>
      </c>
      <c r="E1" s="265"/>
      <c r="F1" s="265"/>
      <c r="G1" s="265"/>
      <c r="H1" s="265"/>
      <c r="I1" s="265"/>
      <c r="J1" s="265"/>
      <c r="K1" s="265"/>
      <c r="L1" s="265"/>
      <c r="M1" s="93"/>
      <c r="N1" s="93"/>
      <c r="O1" s="93"/>
      <c r="P1" s="93"/>
      <c r="Q1" s="93"/>
      <c r="R1" s="93"/>
      <c r="S1" s="93"/>
      <c r="T1" s="93"/>
    </row>
    <row r="2" spans="1:20" s="17" customFormat="1" ht="42.75" customHeight="1" thickBot="1" x14ac:dyDescent="0.25">
      <c r="A2" s="77" t="s">
        <v>35</v>
      </c>
      <c r="B2" s="188" t="s">
        <v>0</v>
      </c>
      <c r="C2" s="77" t="s">
        <v>9</v>
      </c>
      <c r="D2" s="77" t="s">
        <v>10</v>
      </c>
      <c r="E2" s="77" t="s">
        <v>11</v>
      </c>
      <c r="F2" s="77" t="s">
        <v>23</v>
      </c>
      <c r="G2" s="77" t="s">
        <v>96</v>
      </c>
      <c r="H2" s="77" t="s">
        <v>816</v>
      </c>
      <c r="I2" s="77" t="s">
        <v>93</v>
      </c>
      <c r="J2" s="77" t="s">
        <v>24</v>
      </c>
      <c r="K2" s="77" t="s">
        <v>19</v>
      </c>
      <c r="L2" s="120" t="s">
        <v>30</v>
      </c>
      <c r="M2" s="120" t="s">
        <v>31</v>
      </c>
      <c r="N2" s="120" t="s">
        <v>25</v>
      </c>
      <c r="O2" s="77" t="s">
        <v>12</v>
      </c>
      <c r="P2" s="78" t="s">
        <v>37</v>
      </c>
      <c r="Q2" s="78" t="s">
        <v>62</v>
      </c>
      <c r="R2" s="78" t="s">
        <v>186</v>
      </c>
      <c r="S2" s="78" t="s">
        <v>145</v>
      </c>
      <c r="T2" s="78" t="s">
        <v>4</v>
      </c>
    </row>
    <row r="3" spans="1:20" x14ac:dyDescent="0.2">
      <c r="A3" s="201" t="s">
        <v>15</v>
      </c>
      <c r="B3" s="190">
        <v>44856</v>
      </c>
      <c r="C3" s="14" t="s">
        <v>77</v>
      </c>
      <c r="D3" s="14" t="s">
        <v>238</v>
      </c>
      <c r="E3" s="14" t="s">
        <v>243</v>
      </c>
      <c r="F3" s="14" t="s">
        <v>39</v>
      </c>
      <c r="G3" s="14" t="s">
        <v>39</v>
      </c>
      <c r="H3" s="14"/>
      <c r="I3" s="14" t="s">
        <v>236</v>
      </c>
      <c r="J3" s="14">
        <v>19849</v>
      </c>
      <c r="K3" s="13">
        <v>43077.1</v>
      </c>
      <c r="L3" s="13">
        <v>0</v>
      </c>
      <c r="M3" s="13">
        <v>0</v>
      </c>
      <c r="N3" s="13">
        <v>0</v>
      </c>
      <c r="O3" s="76">
        <v>43077.1</v>
      </c>
      <c r="P3" s="81" t="s">
        <v>272</v>
      </c>
      <c r="Q3" s="123">
        <v>3</v>
      </c>
      <c r="R3" s="13"/>
      <c r="S3" s="13"/>
      <c r="T3" s="13">
        <f>LISTA[[#This Row],[VALOR FINAL]]+LISTA[[#This Row],[TARIFA IN]]+LISTA[[#This Row],[TARIFA OUT ]]</f>
        <v>43077.1</v>
      </c>
    </row>
    <row r="4" spans="1:20" x14ac:dyDescent="0.2">
      <c r="A4" s="201" t="s">
        <v>15</v>
      </c>
      <c r="B4" s="190">
        <v>44857</v>
      </c>
      <c r="C4" s="14" t="s">
        <v>237</v>
      </c>
      <c r="D4" s="14" t="s">
        <v>238</v>
      </c>
      <c r="E4" s="14" t="s">
        <v>242</v>
      </c>
      <c r="F4" s="14" t="s">
        <v>39</v>
      </c>
      <c r="G4" s="14" t="s">
        <v>39</v>
      </c>
      <c r="H4" s="14"/>
      <c r="I4" s="14" t="s">
        <v>45</v>
      </c>
      <c r="J4" s="14">
        <v>0</v>
      </c>
      <c r="K4" s="13">
        <v>25846.26</v>
      </c>
      <c r="L4" s="13">
        <v>0</v>
      </c>
      <c r="M4" s="13">
        <v>0</v>
      </c>
      <c r="N4" s="13">
        <v>0</v>
      </c>
      <c r="O4" s="13">
        <v>25846.26</v>
      </c>
      <c r="P4" s="81" t="s">
        <v>272</v>
      </c>
      <c r="Q4" s="123">
        <v>4</v>
      </c>
      <c r="R4" s="13"/>
      <c r="S4" s="13"/>
      <c r="T4" s="13">
        <f>LISTA[[#This Row],[VALOR FINAL]]+LISTA[[#This Row],[TARIFA IN]]+LISTA[[#This Row],[TARIFA OUT ]]</f>
        <v>25846.26</v>
      </c>
    </row>
    <row r="5" spans="1:20" x14ac:dyDescent="0.2">
      <c r="A5" s="201" t="s">
        <v>15</v>
      </c>
      <c r="B5" s="190">
        <v>44858</v>
      </c>
      <c r="C5" s="14" t="s">
        <v>237</v>
      </c>
      <c r="D5" s="14" t="s">
        <v>238</v>
      </c>
      <c r="E5" s="14" t="s">
        <v>242</v>
      </c>
      <c r="F5" s="14" t="s">
        <v>39</v>
      </c>
      <c r="G5" s="14" t="s">
        <v>39</v>
      </c>
      <c r="H5" s="14"/>
      <c r="I5" s="14" t="s">
        <v>45</v>
      </c>
      <c r="J5" s="14">
        <v>0</v>
      </c>
      <c r="K5" s="13">
        <v>25846.26</v>
      </c>
      <c r="L5" s="13">
        <v>0</v>
      </c>
      <c r="M5" s="13">
        <v>0</v>
      </c>
      <c r="N5" s="13">
        <v>0</v>
      </c>
      <c r="O5" s="76">
        <v>25846.26</v>
      </c>
      <c r="P5" s="81" t="s">
        <v>272</v>
      </c>
      <c r="Q5" s="123">
        <v>5</v>
      </c>
      <c r="R5" s="13"/>
      <c r="S5" s="13"/>
      <c r="T5" s="13">
        <f>LISTA[[#This Row],[VALOR FINAL]]+LISTA[[#This Row],[TARIFA IN]]+LISTA[[#This Row],[TARIFA OUT ]]</f>
        <v>25846.26</v>
      </c>
    </row>
    <row r="6" spans="1:20" x14ac:dyDescent="0.2">
      <c r="A6" s="201" t="s">
        <v>15</v>
      </c>
      <c r="B6" s="190">
        <v>44859</v>
      </c>
      <c r="C6" s="14" t="s">
        <v>237</v>
      </c>
      <c r="D6" s="14" t="s">
        <v>238</v>
      </c>
      <c r="E6" s="14" t="s">
        <v>242</v>
      </c>
      <c r="F6" s="14" t="s">
        <v>39</v>
      </c>
      <c r="G6" s="14" t="s">
        <v>39</v>
      </c>
      <c r="H6" s="14"/>
      <c r="I6" s="14" t="s">
        <v>45</v>
      </c>
      <c r="J6" s="14">
        <v>0</v>
      </c>
      <c r="K6" s="13">
        <v>25846.26</v>
      </c>
      <c r="L6" s="13">
        <v>0</v>
      </c>
      <c r="M6" s="13">
        <v>0</v>
      </c>
      <c r="N6" s="13">
        <v>0</v>
      </c>
      <c r="O6" s="13">
        <v>25846.26</v>
      </c>
      <c r="P6" s="81" t="s">
        <v>272</v>
      </c>
      <c r="Q6" s="123">
        <v>6</v>
      </c>
      <c r="R6" s="13"/>
      <c r="S6" s="13"/>
      <c r="T6" s="13">
        <f>LISTA[[#This Row],[VALOR FINAL]]+LISTA[[#This Row],[TARIFA IN]]+LISTA[[#This Row],[TARIFA OUT ]]</f>
        <v>25846.26</v>
      </c>
    </row>
    <row r="7" spans="1:20" x14ac:dyDescent="0.2">
      <c r="A7" s="201" t="s">
        <v>15</v>
      </c>
      <c r="B7" s="190">
        <v>44860</v>
      </c>
      <c r="C7" s="14" t="s">
        <v>237</v>
      </c>
      <c r="D7" s="14" t="s">
        <v>238</v>
      </c>
      <c r="E7" s="14" t="s">
        <v>242</v>
      </c>
      <c r="F7" s="14" t="s">
        <v>39</v>
      </c>
      <c r="G7" s="14" t="s">
        <v>39</v>
      </c>
      <c r="H7" s="14"/>
      <c r="I7" s="14" t="s">
        <v>45</v>
      </c>
      <c r="J7" s="14">
        <v>0</v>
      </c>
      <c r="K7" s="13">
        <v>25846.26</v>
      </c>
      <c r="L7" s="13">
        <v>0</v>
      </c>
      <c r="M7" s="13">
        <v>0</v>
      </c>
      <c r="N7" s="13">
        <v>0</v>
      </c>
      <c r="O7" s="76">
        <v>25846.26</v>
      </c>
      <c r="P7" s="81" t="s">
        <v>272</v>
      </c>
      <c r="Q7" s="123">
        <v>7</v>
      </c>
      <c r="R7" s="13"/>
      <c r="S7" s="13"/>
      <c r="T7" s="13">
        <f>LISTA[[#This Row],[VALOR FINAL]]+LISTA[[#This Row],[TARIFA IN]]+LISTA[[#This Row],[TARIFA OUT ]]</f>
        <v>25846.26</v>
      </c>
    </row>
    <row r="8" spans="1:20" x14ac:dyDescent="0.2">
      <c r="A8" s="201" t="s">
        <v>15</v>
      </c>
      <c r="B8" s="190">
        <v>44861</v>
      </c>
      <c r="C8" s="14" t="s">
        <v>237</v>
      </c>
      <c r="D8" s="14" t="s">
        <v>238</v>
      </c>
      <c r="E8" s="14" t="s">
        <v>242</v>
      </c>
      <c r="F8" s="14" t="s">
        <v>39</v>
      </c>
      <c r="G8" s="14" t="s">
        <v>39</v>
      </c>
      <c r="H8" s="14"/>
      <c r="I8" s="14" t="s">
        <v>45</v>
      </c>
      <c r="J8" s="14">
        <v>0</v>
      </c>
      <c r="K8" s="13">
        <v>25846.26</v>
      </c>
      <c r="L8" s="13">
        <v>0</v>
      </c>
      <c r="M8" s="13">
        <v>0</v>
      </c>
      <c r="N8" s="13">
        <v>0</v>
      </c>
      <c r="O8" s="13">
        <v>25846.26</v>
      </c>
      <c r="P8" s="81" t="s">
        <v>272</v>
      </c>
      <c r="Q8" s="123">
        <v>8</v>
      </c>
      <c r="R8" s="13"/>
      <c r="S8" s="13"/>
      <c r="T8" s="13">
        <f>LISTA[[#This Row],[VALOR FINAL]]+LISTA[[#This Row],[TARIFA IN]]+LISTA[[#This Row],[TARIFA OUT ]]</f>
        <v>25846.26</v>
      </c>
    </row>
    <row r="9" spans="1:20" x14ac:dyDescent="0.2">
      <c r="A9" s="201" t="s">
        <v>15</v>
      </c>
      <c r="B9" s="190">
        <v>44862</v>
      </c>
      <c r="C9" s="14" t="s">
        <v>237</v>
      </c>
      <c r="D9" s="14" t="s">
        <v>238</v>
      </c>
      <c r="E9" s="14" t="s">
        <v>242</v>
      </c>
      <c r="F9" s="14" t="s">
        <v>39</v>
      </c>
      <c r="G9" s="14" t="s">
        <v>39</v>
      </c>
      <c r="H9" s="14"/>
      <c r="I9" s="14" t="s">
        <v>45</v>
      </c>
      <c r="J9" s="14">
        <v>0</v>
      </c>
      <c r="K9" s="13">
        <v>25846.26</v>
      </c>
      <c r="L9" s="13">
        <v>0</v>
      </c>
      <c r="M9" s="13">
        <v>0</v>
      </c>
      <c r="N9" s="13">
        <v>0</v>
      </c>
      <c r="O9" s="76">
        <v>25846.26</v>
      </c>
      <c r="P9" s="81" t="s">
        <v>272</v>
      </c>
      <c r="Q9" s="123">
        <v>9</v>
      </c>
      <c r="R9" s="13"/>
      <c r="S9" s="13"/>
      <c r="T9" s="13">
        <f>LISTA[[#This Row],[VALOR FINAL]]+LISTA[[#This Row],[TARIFA IN]]+LISTA[[#This Row],[TARIFA OUT ]]</f>
        <v>25846.26</v>
      </c>
    </row>
    <row r="10" spans="1:20" x14ac:dyDescent="0.2">
      <c r="A10" s="201" t="s">
        <v>15</v>
      </c>
      <c r="B10" s="190">
        <v>44863</v>
      </c>
      <c r="C10" s="14" t="s">
        <v>237</v>
      </c>
      <c r="D10" s="14" t="s">
        <v>238</v>
      </c>
      <c r="E10" s="14" t="s">
        <v>242</v>
      </c>
      <c r="F10" s="14" t="s">
        <v>39</v>
      </c>
      <c r="G10" s="14" t="s">
        <v>39</v>
      </c>
      <c r="H10" s="14"/>
      <c r="I10" s="14" t="s">
        <v>45</v>
      </c>
      <c r="J10" s="14">
        <v>0</v>
      </c>
      <c r="K10" s="13">
        <v>25846.26</v>
      </c>
      <c r="L10" s="13">
        <v>0</v>
      </c>
      <c r="M10" s="13">
        <v>0</v>
      </c>
      <c r="N10" s="13">
        <v>0</v>
      </c>
      <c r="O10" s="76">
        <v>25846.26</v>
      </c>
      <c r="P10" s="81" t="s">
        <v>272</v>
      </c>
      <c r="Q10" s="123">
        <v>10</v>
      </c>
      <c r="R10" s="13"/>
      <c r="S10" s="13"/>
      <c r="T10" s="13">
        <f>LISTA[[#This Row],[VALOR FINAL]]+LISTA[[#This Row],[TARIFA IN]]+LISTA[[#This Row],[TARIFA OUT ]]</f>
        <v>25846.26</v>
      </c>
    </row>
    <row r="11" spans="1:20" x14ac:dyDescent="0.2">
      <c r="A11" s="201" t="s">
        <v>15</v>
      </c>
      <c r="B11" s="190">
        <v>44864</v>
      </c>
      <c r="C11" s="14" t="s">
        <v>237</v>
      </c>
      <c r="D11" s="14" t="s">
        <v>238</v>
      </c>
      <c r="E11" s="14" t="s">
        <v>242</v>
      </c>
      <c r="F11" s="14" t="s">
        <v>39</v>
      </c>
      <c r="G11" s="14" t="s">
        <v>39</v>
      </c>
      <c r="H11" s="14"/>
      <c r="I11" s="14" t="s">
        <v>45</v>
      </c>
      <c r="J11" s="14">
        <v>0</v>
      </c>
      <c r="K11" s="13">
        <v>25846.26</v>
      </c>
      <c r="L11" s="13">
        <v>0</v>
      </c>
      <c r="M11" s="13">
        <v>0</v>
      </c>
      <c r="N11" s="13">
        <v>0</v>
      </c>
      <c r="O11" s="76">
        <v>25846.26</v>
      </c>
      <c r="P11" s="81" t="s">
        <v>272</v>
      </c>
      <c r="Q11" s="123">
        <v>11</v>
      </c>
      <c r="R11" s="13"/>
      <c r="S11" s="13"/>
      <c r="T11" s="13">
        <f>LISTA[[#This Row],[VALOR FINAL]]+LISTA[[#This Row],[TARIFA IN]]+LISTA[[#This Row],[TARIFA OUT ]]</f>
        <v>25846.26</v>
      </c>
    </row>
    <row r="12" spans="1:20" x14ac:dyDescent="0.2">
      <c r="A12" s="201" t="s">
        <v>15</v>
      </c>
      <c r="B12" s="190">
        <v>44865</v>
      </c>
      <c r="C12" s="14" t="s">
        <v>237</v>
      </c>
      <c r="D12" s="14" t="s">
        <v>238</v>
      </c>
      <c r="E12" s="14" t="s">
        <v>242</v>
      </c>
      <c r="F12" s="14" t="s">
        <v>39</v>
      </c>
      <c r="G12" s="14" t="s">
        <v>39</v>
      </c>
      <c r="H12" s="14"/>
      <c r="I12" s="14" t="s">
        <v>45</v>
      </c>
      <c r="J12" s="14">
        <v>0</v>
      </c>
      <c r="K12" s="13">
        <v>25846.26</v>
      </c>
      <c r="L12" s="13">
        <v>0</v>
      </c>
      <c r="M12" s="13">
        <v>0</v>
      </c>
      <c r="N12" s="13">
        <v>0</v>
      </c>
      <c r="O12" s="76">
        <v>25846.26</v>
      </c>
      <c r="P12" s="81" t="s">
        <v>272</v>
      </c>
      <c r="Q12" s="123">
        <v>12</v>
      </c>
      <c r="R12" s="13"/>
      <c r="S12" s="13"/>
      <c r="T12" s="13">
        <f>LISTA[[#This Row],[VALOR FINAL]]+LISTA[[#This Row],[TARIFA IN]]+LISTA[[#This Row],[TARIFA OUT ]]</f>
        <v>25846.26</v>
      </c>
    </row>
    <row r="13" spans="1:20" x14ac:dyDescent="0.2">
      <c r="A13" s="201" t="s">
        <v>15</v>
      </c>
      <c r="B13" s="190">
        <v>44866</v>
      </c>
      <c r="C13" s="14" t="s">
        <v>237</v>
      </c>
      <c r="D13" s="14" t="s">
        <v>238</v>
      </c>
      <c r="E13" s="14" t="s">
        <v>242</v>
      </c>
      <c r="F13" s="14" t="s">
        <v>39</v>
      </c>
      <c r="G13" s="14" t="s">
        <v>39</v>
      </c>
      <c r="H13" s="14"/>
      <c r="I13" s="14" t="s">
        <v>45</v>
      </c>
      <c r="J13" s="14">
        <v>0</v>
      </c>
      <c r="K13" s="13">
        <v>25846.26</v>
      </c>
      <c r="L13" s="13">
        <v>0</v>
      </c>
      <c r="M13" s="13">
        <v>0</v>
      </c>
      <c r="N13" s="13">
        <v>0</v>
      </c>
      <c r="O13" s="76">
        <v>25846.26</v>
      </c>
      <c r="P13" s="81" t="s">
        <v>272</v>
      </c>
      <c r="Q13" s="123">
        <v>13</v>
      </c>
      <c r="R13" s="13"/>
      <c r="S13" s="13"/>
      <c r="T13" s="13">
        <f>LISTA[[#This Row],[VALOR FINAL]]+LISTA[[#This Row],[TARIFA IN]]+LISTA[[#This Row],[TARIFA OUT ]]</f>
        <v>25846.26</v>
      </c>
    </row>
    <row r="14" spans="1:20" x14ac:dyDescent="0.2">
      <c r="A14" s="201" t="s">
        <v>15</v>
      </c>
      <c r="B14" s="190">
        <v>44867</v>
      </c>
      <c r="C14" s="14" t="s">
        <v>237</v>
      </c>
      <c r="D14" s="14" t="s">
        <v>238</v>
      </c>
      <c r="E14" s="14" t="s">
        <v>242</v>
      </c>
      <c r="F14" s="14" t="s">
        <v>39</v>
      </c>
      <c r="G14" s="14" t="s">
        <v>39</v>
      </c>
      <c r="H14" s="14"/>
      <c r="I14" s="14" t="s">
        <v>45</v>
      </c>
      <c r="J14" s="14">
        <v>0</v>
      </c>
      <c r="K14" s="13">
        <v>25846.26</v>
      </c>
      <c r="L14" s="13">
        <v>0</v>
      </c>
      <c r="M14" s="13">
        <v>0</v>
      </c>
      <c r="N14" s="13">
        <v>0</v>
      </c>
      <c r="O14" s="76">
        <v>25846.26</v>
      </c>
      <c r="P14" s="81" t="s">
        <v>272</v>
      </c>
      <c r="Q14" s="123">
        <v>14</v>
      </c>
      <c r="R14" s="13"/>
      <c r="S14" s="13"/>
      <c r="T14" s="13">
        <f>LISTA[[#This Row],[VALOR FINAL]]+LISTA[[#This Row],[TARIFA IN]]+LISTA[[#This Row],[TARIFA OUT ]]</f>
        <v>25846.26</v>
      </c>
    </row>
    <row r="15" spans="1:20" x14ac:dyDescent="0.2">
      <c r="A15" s="201" t="s">
        <v>15</v>
      </c>
      <c r="B15" s="190">
        <v>44868</v>
      </c>
      <c r="C15" s="14" t="s">
        <v>77</v>
      </c>
      <c r="D15" s="14" t="s">
        <v>238</v>
      </c>
      <c r="E15" s="14" t="s">
        <v>239</v>
      </c>
      <c r="F15" s="14" t="s">
        <v>39</v>
      </c>
      <c r="G15" s="14" t="s">
        <v>39</v>
      </c>
      <c r="H15" s="14"/>
      <c r="I15" s="14" t="s">
        <v>240</v>
      </c>
      <c r="J15" s="14">
        <v>0</v>
      </c>
      <c r="K15" s="13">
        <v>43077.1</v>
      </c>
      <c r="L15" s="13">
        <v>0</v>
      </c>
      <c r="M15" s="13">
        <v>0</v>
      </c>
      <c r="N15" s="13">
        <v>0</v>
      </c>
      <c r="O15" s="76">
        <v>43077.1</v>
      </c>
      <c r="P15" s="81" t="s">
        <v>272</v>
      </c>
      <c r="Q15" s="123">
        <v>15</v>
      </c>
      <c r="R15" s="13"/>
      <c r="S15" s="13"/>
      <c r="T15" s="13">
        <f>LISTA[[#This Row],[VALOR FINAL]]+LISTA[[#This Row],[TARIFA IN]]+LISTA[[#This Row],[TARIFA OUT ]]</f>
        <v>43077.1</v>
      </c>
    </row>
    <row r="16" spans="1:20" x14ac:dyDescent="0.2">
      <c r="A16" s="201" t="s">
        <v>15</v>
      </c>
      <c r="B16" s="190">
        <v>44869</v>
      </c>
      <c r="C16" s="14" t="s">
        <v>42</v>
      </c>
      <c r="D16" s="14" t="s">
        <v>238</v>
      </c>
      <c r="E16" s="14" t="s">
        <v>241</v>
      </c>
      <c r="F16" s="14" t="s">
        <v>39</v>
      </c>
      <c r="G16" s="14" t="s">
        <v>39</v>
      </c>
      <c r="H16" s="14"/>
      <c r="I16" s="14" t="s">
        <v>45</v>
      </c>
      <c r="J16" s="14">
        <v>0</v>
      </c>
      <c r="K16" s="13">
        <v>43077.1</v>
      </c>
      <c r="L16" s="13">
        <v>0</v>
      </c>
      <c r="M16" s="13">
        <v>0</v>
      </c>
      <c r="N16" s="13">
        <v>0</v>
      </c>
      <c r="O16" s="76">
        <v>43077.1</v>
      </c>
      <c r="P16" s="81" t="s">
        <v>272</v>
      </c>
      <c r="Q16" s="123">
        <v>16</v>
      </c>
      <c r="R16" s="13"/>
      <c r="S16" s="13"/>
      <c r="T16" s="13">
        <f>LISTA[[#This Row],[VALOR FINAL]]+LISTA[[#This Row],[TARIFA IN]]+LISTA[[#This Row],[TARIFA OUT ]]</f>
        <v>43077.1</v>
      </c>
    </row>
    <row r="17" spans="1:20" x14ac:dyDescent="0.2">
      <c r="A17" s="201" t="s">
        <v>15</v>
      </c>
      <c r="B17" s="190">
        <v>44870</v>
      </c>
      <c r="C17" s="14" t="s">
        <v>237</v>
      </c>
      <c r="D17" s="14" t="s">
        <v>238</v>
      </c>
      <c r="E17" s="14" t="s">
        <v>242</v>
      </c>
      <c r="F17" s="14" t="s">
        <v>39</v>
      </c>
      <c r="G17" s="14" t="s">
        <v>39</v>
      </c>
      <c r="H17" s="14"/>
      <c r="I17" s="14" t="s">
        <v>45</v>
      </c>
      <c r="J17" s="14">
        <v>0</v>
      </c>
      <c r="K17" s="13">
        <v>25846.26</v>
      </c>
      <c r="L17" s="13">
        <v>0</v>
      </c>
      <c r="M17" s="13">
        <v>0</v>
      </c>
      <c r="N17" s="13">
        <v>0</v>
      </c>
      <c r="O17" s="76">
        <v>25846.26</v>
      </c>
      <c r="P17" s="81" t="s">
        <v>272</v>
      </c>
      <c r="Q17" s="123">
        <v>17</v>
      </c>
      <c r="R17" s="13"/>
      <c r="S17" s="13"/>
      <c r="T17" s="13">
        <f>LISTA[[#This Row],[VALOR FINAL]]+LISTA[[#This Row],[TARIFA IN]]+LISTA[[#This Row],[TARIFA OUT ]]</f>
        <v>25846.26</v>
      </c>
    </row>
    <row r="18" spans="1:20" x14ac:dyDescent="0.2">
      <c r="A18" s="201" t="s">
        <v>15</v>
      </c>
      <c r="B18" s="190">
        <v>44871</v>
      </c>
      <c r="C18" s="14" t="s">
        <v>237</v>
      </c>
      <c r="D18" s="14" t="s">
        <v>238</v>
      </c>
      <c r="E18" s="14" t="s">
        <v>242</v>
      </c>
      <c r="F18" s="14" t="s">
        <v>39</v>
      </c>
      <c r="G18" s="14" t="s">
        <v>39</v>
      </c>
      <c r="H18" s="14"/>
      <c r="I18" s="14" t="s">
        <v>45</v>
      </c>
      <c r="J18" s="14">
        <v>0</v>
      </c>
      <c r="K18" s="13">
        <v>25846.26</v>
      </c>
      <c r="L18" s="13">
        <v>0</v>
      </c>
      <c r="M18" s="13">
        <v>0</v>
      </c>
      <c r="N18" s="13">
        <v>0</v>
      </c>
      <c r="O18" s="76">
        <v>25846.26</v>
      </c>
      <c r="P18" s="81" t="s">
        <v>272</v>
      </c>
      <c r="Q18" s="123">
        <v>18</v>
      </c>
      <c r="R18" s="13"/>
      <c r="S18" s="13"/>
      <c r="T18" s="13">
        <f>LISTA[[#This Row],[VALOR FINAL]]+LISTA[[#This Row],[TARIFA IN]]+LISTA[[#This Row],[TARIFA OUT ]]</f>
        <v>25846.26</v>
      </c>
    </row>
    <row r="19" spans="1:20" x14ac:dyDescent="0.2">
      <c r="A19" s="201" t="s">
        <v>15</v>
      </c>
      <c r="B19" s="190">
        <v>44872</v>
      </c>
      <c r="C19" s="14" t="s">
        <v>237</v>
      </c>
      <c r="D19" s="14" t="s">
        <v>238</v>
      </c>
      <c r="E19" s="14" t="s">
        <v>242</v>
      </c>
      <c r="F19" s="14" t="s">
        <v>39</v>
      </c>
      <c r="G19" s="14" t="s">
        <v>39</v>
      </c>
      <c r="H19" s="14"/>
      <c r="I19" s="14" t="s">
        <v>45</v>
      </c>
      <c r="J19" s="14">
        <v>0</v>
      </c>
      <c r="K19" s="13">
        <v>25846.26</v>
      </c>
      <c r="L19" s="13">
        <v>0</v>
      </c>
      <c r="M19" s="13">
        <v>0</v>
      </c>
      <c r="N19" s="13">
        <v>0</v>
      </c>
      <c r="O19" s="76">
        <v>25846.26</v>
      </c>
      <c r="P19" s="81" t="s">
        <v>272</v>
      </c>
      <c r="Q19" s="123">
        <v>19</v>
      </c>
      <c r="R19" s="13"/>
      <c r="S19" s="13"/>
      <c r="T19" s="13">
        <f>LISTA[[#This Row],[VALOR FINAL]]+LISTA[[#This Row],[TARIFA IN]]+LISTA[[#This Row],[TARIFA OUT ]]</f>
        <v>25846.26</v>
      </c>
    </row>
    <row r="20" spans="1:20" x14ac:dyDescent="0.2">
      <c r="A20" s="201" t="s">
        <v>15</v>
      </c>
      <c r="B20" s="190">
        <v>44873</v>
      </c>
      <c r="C20" s="14" t="s">
        <v>237</v>
      </c>
      <c r="D20" s="14" t="s">
        <v>238</v>
      </c>
      <c r="E20" s="14" t="s">
        <v>242</v>
      </c>
      <c r="F20" s="14" t="s">
        <v>39</v>
      </c>
      <c r="G20" s="14" t="s">
        <v>39</v>
      </c>
      <c r="H20" s="14"/>
      <c r="I20" s="14" t="s">
        <v>45</v>
      </c>
      <c r="J20" s="14">
        <v>0</v>
      </c>
      <c r="K20" s="13">
        <v>25846.26</v>
      </c>
      <c r="L20" s="13">
        <v>0</v>
      </c>
      <c r="M20" s="13">
        <v>0</v>
      </c>
      <c r="N20" s="13">
        <v>0</v>
      </c>
      <c r="O20" s="76">
        <v>25846.26</v>
      </c>
      <c r="P20" s="81" t="s">
        <v>272</v>
      </c>
      <c r="Q20" s="123">
        <v>20</v>
      </c>
      <c r="R20" s="13"/>
      <c r="S20" s="13"/>
      <c r="T20" s="13">
        <f>LISTA[[#This Row],[VALOR FINAL]]+LISTA[[#This Row],[TARIFA IN]]+LISTA[[#This Row],[TARIFA OUT ]]</f>
        <v>25846.26</v>
      </c>
    </row>
    <row r="21" spans="1:20" x14ac:dyDescent="0.2">
      <c r="A21" s="201" t="s">
        <v>15</v>
      </c>
      <c r="B21" s="190">
        <v>44874</v>
      </c>
      <c r="C21" s="14"/>
      <c r="D21" s="14" t="s">
        <v>238</v>
      </c>
      <c r="E21" s="14" t="s">
        <v>242</v>
      </c>
      <c r="F21" s="14" t="s">
        <v>39</v>
      </c>
      <c r="G21" s="14" t="s">
        <v>39</v>
      </c>
      <c r="H21" s="14"/>
      <c r="I21" s="14" t="s">
        <v>45</v>
      </c>
      <c r="J21" s="14">
        <v>0</v>
      </c>
      <c r="K21" s="13">
        <v>25846.26</v>
      </c>
      <c r="L21" s="13">
        <v>0</v>
      </c>
      <c r="M21" s="13">
        <v>0</v>
      </c>
      <c r="N21" s="13">
        <v>0</v>
      </c>
      <c r="O21" s="13">
        <v>25846.26</v>
      </c>
      <c r="P21" s="81" t="s">
        <v>272</v>
      </c>
      <c r="Q21" s="123">
        <v>21</v>
      </c>
      <c r="R21" s="13"/>
      <c r="S21" s="13"/>
      <c r="T21" s="13">
        <f>LISTA[[#This Row],[VALOR FINAL]]+LISTA[[#This Row],[TARIFA IN]]+LISTA[[#This Row],[TARIFA OUT ]]</f>
        <v>25846.26</v>
      </c>
    </row>
    <row r="22" spans="1:20" x14ac:dyDescent="0.2">
      <c r="A22" s="201" t="s">
        <v>15</v>
      </c>
      <c r="B22" s="190">
        <v>44875</v>
      </c>
      <c r="C22" s="14" t="s">
        <v>237</v>
      </c>
      <c r="D22" s="14" t="s">
        <v>238</v>
      </c>
      <c r="E22" s="14" t="s">
        <v>242</v>
      </c>
      <c r="F22" s="14" t="s">
        <v>39</v>
      </c>
      <c r="G22" s="14" t="s">
        <v>39</v>
      </c>
      <c r="H22" s="14"/>
      <c r="I22" s="14" t="s">
        <v>45</v>
      </c>
      <c r="J22" s="14">
        <v>0</v>
      </c>
      <c r="K22" s="13">
        <v>25846.26</v>
      </c>
      <c r="L22" s="13">
        <v>0</v>
      </c>
      <c r="M22" s="13">
        <v>0</v>
      </c>
      <c r="N22" s="13">
        <v>0</v>
      </c>
      <c r="O22" s="76">
        <v>25846.26</v>
      </c>
      <c r="P22" s="81" t="s">
        <v>272</v>
      </c>
      <c r="Q22" s="123">
        <v>22</v>
      </c>
      <c r="R22" s="13"/>
      <c r="S22" s="13"/>
      <c r="T22" s="13">
        <f>LISTA[[#This Row],[VALOR FINAL]]+LISTA[[#This Row],[TARIFA IN]]+LISTA[[#This Row],[TARIFA OUT ]]</f>
        <v>25846.26</v>
      </c>
    </row>
    <row r="23" spans="1:20" x14ac:dyDescent="0.2">
      <c r="A23" s="201" t="s">
        <v>15</v>
      </c>
      <c r="B23" s="190">
        <v>44876</v>
      </c>
      <c r="C23" s="14" t="s">
        <v>47</v>
      </c>
      <c r="D23" s="14" t="s">
        <v>238</v>
      </c>
      <c r="E23" s="14" t="s">
        <v>244</v>
      </c>
      <c r="F23" s="14" t="s">
        <v>39</v>
      </c>
      <c r="G23" s="14" t="s">
        <v>39</v>
      </c>
      <c r="H23" s="14"/>
      <c r="I23" s="14" t="s">
        <v>245</v>
      </c>
      <c r="J23" s="14">
        <v>0</v>
      </c>
      <c r="K23" s="13">
        <v>85456</v>
      </c>
      <c r="L23" s="13">
        <v>0</v>
      </c>
      <c r="M23" s="13">
        <v>0</v>
      </c>
      <c r="N23" s="13">
        <v>0</v>
      </c>
      <c r="O23" s="13">
        <v>85456</v>
      </c>
      <c r="P23" s="81" t="s">
        <v>272</v>
      </c>
      <c r="Q23" s="123">
        <v>23</v>
      </c>
      <c r="R23" s="13"/>
      <c r="S23" s="13"/>
      <c r="T23" s="13">
        <f>LISTA[[#This Row],[VALOR FINAL]]+LISTA[[#This Row],[TARIFA IN]]+LISTA[[#This Row],[TARIFA OUT ]]</f>
        <v>85456</v>
      </c>
    </row>
    <row r="24" spans="1:20" x14ac:dyDescent="0.2">
      <c r="A24" s="201" t="s">
        <v>15</v>
      </c>
      <c r="B24" s="190">
        <v>44861</v>
      </c>
      <c r="C24" s="14" t="s">
        <v>83</v>
      </c>
      <c r="D24" s="14" t="s">
        <v>246</v>
      </c>
      <c r="E24" s="14" t="s">
        <v>247</v>
      </c>
      <c r="F24" s="14" t="s">
        <v>39</v>
      </c>
      <c r="G24" s="14" t="s">
        <v>39</v>
      </c>
      <c r="H24" s="14"/>
      <c r="I24" s="14" t="s">
        <v>45</v>
      </c>
      <c r="J24" s="14">
        <v>19940</v>
      </c>
      <c r="K24" s="13">
        <v>43077.1</v>
      </c>
      <c r="L24" s="13">
        <v>0</v>
      </c>
      <c r="M24" s="13">
        <v>0</v>
      </c>
      <c r="N24" s="13">
        <v>0</v>
      </c>
      <c r="O24" s="76">
        <v>43077.1</v>
      </c>
      <c r="P24" s="81" t="s">
        <v>272</v>
      </c>
      <c r="Q24" s="123">
        <v>24</v>
      </c>
      <c r="R24" s="13"/>
      <c r="S24" s="13"/>
      <c r="T24" s="13">
        <f>LISTA[[#This Row],[VALOR FINAL]]+LISTA[[#This Row],[TARIFA IN]]+LISTA[[#This Row],[TARIFA OUT ]]</f>
        <v>43077.1</v>
      </c>
    </row>
    <row r="25" spans="1:20" x14ac:dyDescent="0.2">
      <c r="A25" s="201" t="s">
        <v>15</v>
      </c>
      <c r="B25" s="190">
        <v>44862</v>
      </c>
      <c r="C25" s="14"/>
      <c r="D25" s="14" t="s">
        <v>246</v>
      </c>
      <c r="E25" s="14" t="s">
        <v>242</v>
      </c>
      <c r="F25" s="14" t="s">
        <v>39</v>
      </c>
      <c r="G25" s="14" t="s">
        <v>39</v>
      </c>
      <c r="H25" s="14"/>
      <c r="I25" s="14" t="s">
        <v>45</v>
      </c>
      <c r="J25" s="14">
        <v>0</v>
      </c>
      <c r="K25" s="13">
        <v>25846.26</v>
      </c>
      <c r="L25" s="13">
        <v>0</v>
      </c>
      <c r="M25" s="13">
        <v>0</v>
      </c>
      <c r="N25" s="13">
        <v>0</v>
      </c>
      <c r="O25" s="76">
        <v>25846.26</v>
      </c>
      <c r="P25" s="81" t="s">
        <v>272</v>
      </c>
      <c r="Q25" s="123">
        <v>25</v>
      </c>
      <c r="R25" s="13"/>
      <c r="S25" s="13"/>
      <c r="T25" s="13">
        <f>LISTA[[#This Row],[VALOR FINAL]]+LISTA[[#This Row],[TARIFA IN]]+LISTA[[#This Row],[TARIFA OUT ]]</f>
        <v>25846.26</v>
      </c>
    </row>
    <row r="26" spans="1:20" x14ac:dyDescent="0.2">
      <c r="A26" s="201" t="s">
        <v>15</v>
      </c>
      <c r="B26" s="190">
        <v>44863</v>
      </c>
      <c r="C26" s="14"/>
      <c r="D26" s="14" t="s">
        <v>246</v>
      </c>
      <c r="E26" s="14" t="s">
        <v>242</v>
      </c>
      <c r="F26" s="14" t="s">
        <v>39</v>
      </c>
      <c r="G26" s="14" t="s">
        <v>39</v>
      </c>
      <c r="H26" s="14"/>
      <c r="I26" s="14" t="s">
        <v>45</v>
      </c>
      <c r="J26" s="14">
        <v>0</v>
      </c>
      <c r="K26" s="13">
        <v>25846.26</v>
      </c>
      <c r="L26" s="13">
        <v>0</v>
      </c>
      <c r="M26" s="13">
        <v>0</v>
      </c>
      <c r="N26" s="13">
        <v>0</v>
      </c>
      <c r="O26" s="76">
        <v>25846.26</v>
      </c>
      <c r="P26" s="81" t="s">
        <v>272</v>
      </c>
      <c r="Q26" s="123">
        <v>26</v>
      </c>
      <c r="R26" s="13"/>
      <c r="S26" s="13"/>
      <c r="T26" s="13">
        <f>LISTA[[#This Row],[VALOR FINAL]]+LISTA[[#This Row],[TARIFA IN]]+LISTA[[#This Row],[TARIFA OUT ]]</f>
        <v>25846.26</v>
      </c>
    </row>
    <row r="27" spans="1:20" x14ac:dyDescent="0.2">
      <c r="A27" s="201" t="s">
        <v>15</v>
      </c>
      <c r="B27" s="190">
        <v>44864</v>
      </c>
      <c r="C27" s="14"/>
      <c r="D27" s="14" t="s">
        <v>246</v>
      </c>
      <c r="E27" s="14" t="s">
        <v>242</v>
      </c>
      <c r="F27" s="14" t="s">
        <v>39</v>
      </c>
      <c r="G27" s="14" t="s">
        <v>39</v>
      </c>
      <c r="H27" s="14"/>
      <c r="I27" s="14" t="s">
        <v>45</v>
      </c>
      <c r="J27" s="14">
        <v>0</v>
      </c>
      <c r="K27" s="13">
        <v>25846.26</v>
      </c>
      <c r="L27" s="13">
        <v>0</v>
      </c>
      <c r="M27" s="13">
        <v>0</v>
      </c>
      <c r="N27" s="13">
        <v>0</v>
      </c>
      <c r="O27" s="76">
        <v>25846.26</v>
      </c>
      <c r="P27" s="81" t="s">
        <v>272</v>
      </c>
      <c r="Q27" s="123">
        <v>27</v>
      </c>
      <c r="R27" s="13"/>
      <c r="S27" s="13"/>
      <c r="T27" s="13">
        <f>LISTA[[#This Row],[VALOR FINAL]]+LISTA[[#This Row],[TARIFA IN]]+LISTA[[#This Row],[TARIFA OUT ]]</f>
        <v>25846.26</v>
      </c>
    </row>
    <row r="28" spans="1:20" x14ac:dyDescent="0.2">
      <c r="A28" s="201" t="s">
        <v>15</v>
      </c>
      <c r="B28" s="190">
        <v>44865</v>
      </c>
      <c r="C28" s="14"/>
      <c r="D28" s="14" t="s">
        <v>246</v>
      </c>
      <c r="E28" s="14" t="s">
        <v>242</v>
      </c>
      <c r="F28" s="14" t="s">
        <v>39</v>
      </c>
      <c r="G28" s="14" t="s">
        <v>39</v>
      </c>
      <c r="H28" s="14"/>
      <c r="I28" s="14" t="s">
        <v>45</v>
      </c>
      <c r="J28" s="14">
        <v>0</v>
      </c>
      <c r="K28" s="13">
        <v>25846.26</v>
      </c>
      <c r="L28" s="13">
        <v>0</v>
      </c>
      <c r="M28" s="13">
        <v>0</v>
      </c>
      <c r="N28" s="13">
        <v>0</v>
      </c>
      <c r="O28" s="76">
        <v>25846.26</v>
      </c>
      <c r="P28" s="81" t="s">
        <v>272</v>
      </c>
      <c r="Q28" s="123">
        <v>28</v>
      </c>
      <c r="R28" s="13"/>
      <c r="S28" s="13"/>
      <c r="T28" s="13">
        <f>LISTA[[#This Row],[VALOR FINAL]]+LISTA[[#This Row],[TARIFA IN]]+LISTA[[#This Row],[TARIFA OUT ]]</f>
        <v>25846.26</v>
      </c>
    </row>
    <row r="29" spans="1:20" x14ac:dyDescent="0.2">
      <c r="A29" s="201" t="s">
        <v>15</v>
      </c>
      <c r="B29" s="190">
        <v>44866</v>
      </c>
      <c r="C29" s="14"/>
      <c r="D29" s="14" t="s">
        <v>246</v>
      </c>
      <c r="E29" s="14" t="s">
        <v>242</v>
      </c>
      <c r="F29" s="14" t="s">
        <v>39</v>
      </c>
      <c r="G29" s="14" t="s">
        <v>39</v>
      </c>
      <c r="H29" s="14"/>
      <c r="I29" s="14" t="s">
        <v>45</v>
      </c>
      <c r="J29" s="14">
        <v>0</v>
      </c>
      <c r="K29" s="13">
        <v>25846.26</v>
      </c>
      <c r="L29" s="13">
        <v>0</v>
      </c>
      <c r="M29" s="13">
        <v>0</v>
      </c>
      <c r="N29" s="13">
        <v>0</v>
      </c>
      <c r="O29" s="76">
        <v>25846.26</v>
      </c>
      <c r="P29" s="81" t="s">
        <v>272</v>
      </c>
      <c r="Q29" s="123">
        <v>29</v>
      </c>
      <c r="R29" s="13"/>
      <c r="S29" s="13"/>
      <c r="T29" s="13">
        <f>LISTA[[#This Row],[VALOR FINAL]]+LISTA[[#This Row],[TARIFA IN]]+LISTA[[#This Row],[TARIFA OUT ]]</f>
        <v>25846.26</v>
      </c>
    </row>
    <row r="30" spans="1:20" x14ac:dyDescent="0.2">
      <c r="A30" s="201" t="s">
        <v>15</v>
      </c>
      <c r="B30" s="190">
        <v>44867</v>
      </c>
      <c r="C30" s="14"/>
      <c r="D30" s="14" t="s">
        <v>246</v>
      </c>
      <c r="E30" s="14" t="s">
        <v>242</v>
      </c>
      <c r="F30" s="14" t="s">
        <v>39</v>
      </c>
      <c r="G30" s="14" t="s">
        <v>39</v>
      </c>
      <c r="H30" s="14"/>
      <c r="I30" s="14" t="s">
        <v>45</v>
      </c>
      <c r="J30" s="14">
        <v>0</v>
      </c>
      <c r="K30" s="13">
        <v>25846.26</v>
      </c>
      <c r="L30" s="13">
        <v>0</v>
      </c>
      <c r="M30" s="13">
        <v>0</v>
      </c>
      <c r="N30" s="13">
        <v>0</v>
      </c>
      <c r="O30" s="76">
        <v>25846.26</v>
      </c>
      <c r="P30" s="81" t="s">
        <v>272</v>
      </c>
      <c r="Q30" s="123">
        <v>30</v>
      </c>
      <c r="R30" s="13"/>
      <c r="S30" s="13"/>
      <c r="T30" s="13">
        <f>LISTA[[#This Row],[VALOR FINAL]]+LISTA[[#This Row],[TARIFA IN]]+LISTA[[#This Row],[TARIFA OUT ]]</f>
        <v>25846.26</v>
      </c>
    </row>
    <row r="31" spans="1:20" x14ac:dyDescent="0.2">
      <c r="A31" s="201" t="s">
        <v>15</v>
      </c>
      <c r="B31" s="190">
        <v>44868</v>
      </c>
      <c r="C31" s="14"/>
      <c r="D31" s="14" t="s">
        <v>246</v>
      </c>
      <c r="E31" s="14" t="s">
        <v>242</v>
      </c>
      <c r="F31" s="14" t="s">
        <v>39</v>
      </c>
      <c r="G31" s="14" t="s">
        <v>39</v>
      </c>
      <c r="H31" s="14"/>
      <c r="I31" s="14" t="s">
        <v>45</v>
      </c>
      <c r="J31" s="14">
        <v>0</v>
      </c>
      <c r="K31" s="13">
        <v>25846.26</v>
      </c>
      <c r="L31" s="13">
        <v>0</v>
      </c>
      <c r="M31" s="13">
        <v>0</v>
      </c>
      <c r="N31" s="13">
        <v>0</v>
      </c>
      <c r="O31" s="76">
        <v>25846.26</v>
      </c>
      <c r="P31" s="81" t="s">
        <v>272</v>
      </c>
      <c r="Q31" s="123">
        <v>31</v>
      </c>
      <c r="R31" s="13"/>
      <c r="S31" s="13"/>
      <c r="T31" s="13">
        <f>LISTA[[#This Row],[VALOR FINAL]]+LISTA[[#This Row],[TARIFA IN]]+LISTA[[#This Row],[TARIFA OUT ]]</f>
        <v>25846.26</v>
      </c>
    </row>
    <row r="32" spans="1:20" x14ac:dyDescent="0.2">
      <c r="A32" s="201" t="s">
        <v>15</v>
      </c>
      <c r="B32" s="190">
        <v>44869</v>
      </c>
      <c r="C32" s="14"/>
      <c r="D32" s="14" t="s">
        <v>246</v>
      </c>
      <c r="E32" s="14" t="s">
        <v>242</v>
      </c>
      <c r="F32" s="14" t="s">
        <v>39</v>
      </c>
      <c r="G32" s="14" t="s">
        <v>39</v>
      </c>
      <c r="H32" s="14"/>
      <c r="I32" s="14" t="s">
        <v>45</v>
      </c>
      <c r="J32" s="14">
        <v>0</v>
      </c>
      <c r="K32" s="13">
        <v>25846.26</v>
      </c>
      <c r="L32" s="13">
        <v>0</v>
      </c>
      <c r="M32" s="13">
        <v>0</v>
      </c>
      <c r="N32" s="13">
        <v>0</v>
      </c>
      <c r="O32" s="76">
        <v>25846.26</v>
      </c>
      <c r="P32" s="81" t="s">
        <v>272</v>
      </c>
      <c r="Q32" s="123">
        <v>32</v>
      </c>
      <c r="R32" s="13"/>
      <c r="S32" s="13"/>
      <c r="T32" s="13">
        <f>LISTA[[#This Row],[VALOR FINAL]]+LISTA[[#This Row],[TARIFA IN]]+LISTA[[#This Row],[TARIFA OUT ]]</f>
        <v>25846.26</v>
      </c>
    </row>
    <row r="33" spans="1:20" x14ac:dyDescent="0.2">
      <c r="A33" s="201" t="s">
        <v>15</v>
      </c>
      <c r="B33" s="190">
        <v>44870</v>
      </c>
      <c r="C33" s="14"/>
      <c r="D33" s="14" t="s">
        <v>246</v>
      </c>
      <c r="E33" s="14" t="s">
        <v>242</v>
      </c>
      <c r="F33" s="14" t="s">
        <v>39</v>
      </c>
      <c r="G33" s="14" t="s">
        <v>39</v>
      </c>
      <c r="H33" s="14"/>
      <c r="I33" s="14" t="s">
        <v>45</v>
      </c>
      <c r="J33" s="14">
        <v>0</v>
      </c>
      <c r="K33" s="13">
        <v>25846.26</v>
      </c>
      <c r="L33" s="13">
        <v>0</v>
      </c>
      <c r="M33" s="13">
        <v>0</v>
      </c>
      <c r="N33" s="13">
        <v>0</v>
      </c>
      <c r="O33" s="76">
        <v>25846.26</v>
      </c>
      <c r="P33" s="81" t="s">
        <v>272</v>
      </c>
      <c r="Q33" s="123">
        <v>33</v>
      </c>
      <c r="R33" s="13"/>
      <c r="S33" s="13"/>
      <c r="T33" s="13">
        <f>LISTA[[#This Row],[VALOR FINAL]]+LISTA[[#This Row],[TARIFA IN]]+LISTA[[#This Row],[TARIFA OUT ]]</f>
        <v>25846.26</v>
      </c>
    </row>
    <row r="34" spans="1:20" x14ac:dyDescent="0.2">
      <c r="A34" s="201" t="s">
        <v>15</v>
      </c>
      <c r="B34" s="190">
        <v>44871</v>
      </c>
      <c r="C34" s="14"/>
      <c r="D34" s="14" t="s">
        <v>246</v>
      </c>
      <c r="E34" s="14" t="s">
        <v>242</v>
      </c>
      <c r="F34" s="14" t="s">
        <v>39</v>
      </c>
      <c r="G34" s="14" t="s">
        <v>39</v>
      </c>
      <c r="H34" s="14"/>
      <c r="I34" s="14" t="s">
        <v>45</v>
      </c>
      <c r="J34" s="14">
        <v>0</v>
      </c>
      <c r="K34" s="13">
        <v>25846.26</v>
      </c>
      <c r="L34" s="13">
        <v>0</v>
      </c>
      <c r="M34" s="13">
        <v>0</v>
      </c>
      <c r="N34" s="13">
        <v>0</v>
      </c>
      <c r="O34" s="76">
        <v>25846.26</v>
      </c>
      <c r="P34" s="81" t="s">
        <v>272</v>
      </c>
      <c r="Q34" s="123">
        <v>34</v>
      </c>
      <c r="R34" s="13"/>
      <c r="S34" s="13"/>
      <c r="T34" s="13">
        <f>LISTA[[#This Row],[VALOR FINAL]]+LISTA[[#This Row],[TARIFA IN]]+LISTA[[#This Row],[TARIFA OUT ]]</f>
        <v>25846.26</v>
      </c>
    </row>
    <row r="35" spans="1:20" x14ac:dyDescent="0.2">
      <c r="A35" s="201" t="s">
        <v>15</v>
      </c>
      <c r="B35" s="190">
        <v>44872</v>
      </c>
      <c r="C35" s="14"/>
      <c r="D35" s="14" t="s">
        <v>246</v>
      </c>
      <c r="E35" s="14" t="s">
        <v>242</v>
      </c>
      <c r="F35" s="14" t="s">
        <v>39</v>
      </c>
      <c r="G35" s="14" t="s">
        <v>39</v>
      </c>
      <c r="H35" s="14"/>
      <c r="I35" s="14" t="s">
        <v>45</v>
      </c>
      <c r="J35" s="14">
        <v>0</v>
      </c>
      <c r="K35" s="13">
        <v>25846.26</v>
      </c>
      <c r="L35" s="13">
        <v>0</v>
      </c>
      <c r="M35" s="13">
        <v>0</v>
      </c>
      <c r="N35" s="13">
        <v>0</v>
      </c>
      <c r="O35" s="76">
        <v>25846.26</v>
      </c>
      <c r="P35" s="81" t="s">
        <v>272</v>
      </c>
      <c r="Q35" s="123">
        <v>35</v>
      </c>
      <c r="R35" s="13"/>
      <c r="S35" s="13"/>
      <c r="T35" s="13">
        <f>LISTA[[#This Row],[VALOR FINAL]]+LISTA[[#This Row],[TARIFA IN]]+LISTA[[#This Row],[TARIFA OUT ]]</f>
        <v>25846.26</v>
      </c>
    </row>
    <row r="36" spans="1:20" x14ac:dyDescent="0.2">
      <c r="A36" s="201" t="s">
        <v>15</v>
      </c>
      <c r="B36" s="190">
        <v>44873</v>
      </c>
      <c r="C36" s="14" t="s">
        <v>40</v>
      </c>
      <c r="D36" s="14" t="s">
        <v>246</v>
      </c>
      <c r="E36" s="14" t="s">
        <v>177</v>
      </c>
      <c r="F36" s="14" t="s">
        <v>39</v>
      </c>
      <c r="G36" s="14" t="s">
        <v>39</v>
      </c>
      <c r="H36" s="14"/>
      <c r="I36" s="14" t="s">
        <v>178</v>
      </c>
      <c r="J36" s="14">
        <v>0</v>
      </c>
      <c r="K36" s="13">
        <v>43077.1</v>
      </c>
      <c r="L36" s="13">
        <v>0</v>
      </c>
      <c r="M36" s="13">
        <v>0</v>
      </c>
      <c r="N36" s="13">
        <v>0</v>
      </c>
      <c r="O36" s="76">
        <v>43077.1</v>
      </c>
      <c r="P36" s="81" t="s">
        <v>272</v>
      </c>
      <c r="Q36" s="123">
        <v>36</v>
      </c>
      <c r="R36" s="13"/>
      <c r="S36" s="13"/>
      <c r="T36" s="13">
        <f>LISTA[[#This Row],[VALOR FINAL]]+LISTA[[#This Row],[TARIFA IN]]+LISTA[[#This Row],[TARIFA OUT ]]</f>
        <v>43077.1</v>
      </c>
    </row>
    <row r="37" spans="1:20" x14ac:dyDescent="0.2">
      <c r="A37" s="201" t="s">
        <v>15</v>
      </c>
      <c r="B37" s="190">
        <v>44874</v>
      </c>
      <c r="C37" s="14"/>
      <c r="D37" s="14" t="s">
        <v>246</v>
      </c>
      <c r="E37" s="14" t="s">
        <v>242</v>
      </c>
      <c r="F37" s="14" t="s">
        <v>39</v>
      </c>
      <c r="G37" s="14" t="s">
        <v>39</v>
      </c>
      <c r="H37" s="14"/>
      <c r="I37" s="14" t="s">
        <v>45</v>
      </c>
      <c r="J37" s="14">
        <v>0</v>
      </c>
      <c r="K37" s="13">
        <v>25846.26</v>
      </c>
      <c r="L37" s="13">
        <v>0</v>
      </c>
      <c r="M37" s="13">
        <v>0</v>
      </c>
      <c r="N37" s="13">
        <v>0</v>
      </c>
      <c r="O37" s="76">
        <v>25846.26</v>
      </c>
      <c r="P37" s="81" t="s">
        <v>272</v>
      </c>
      <c r="Q37" s="123">
        <v>37</v>
      </c>
      <c r="R37" s="13"/>
      <c r="S37" s="13"/>
      <c r="T37" s="13">
        <f>LISTA[[#This Row],[VALOR FINAL]]+LISTA[[#This Row],[TARIFA IN]]+LISTA[[#This Row],[TARIFA OUT ]]</f>
        <v>25846.26</v>
      </c>
    </row>
    <row r="38" spans="1:20" x14ac:dyDescent="0.2">
      <c r="A38" s="201" t="s">
        <v>15</v>
      </c>
      <c r="B38" s="190">
        <v>44875</v>
      </c>
      <c r="C38" s="14"/>
      <c r="D38" s="14" t="s">
        <v>246</v>
      </c>
      <c r="E38" s="14" t="s">
        <v>242</v>
      </c>
      <c r="F38" s="14" t="s">
        <v>39</v>
      </c>
      <c r="G38" s="14" t="s">
        <v>39</v>
      </c>
      <c r="H38" s="14"/>
      <c r="I38" s="14" t="s">
        <v>45</v>
      </c>
      <c r="J38" s="14">
        <v>0</v>
      </c>
      <c r="K38" s="13">
        <v>25846.26</v>
      </c>
      <c r="L38" s="13">
        <v>0</v>
      </c>
      <c r="M38" s="13">
        <v>0</v>
      </c>
      <c r="N38" s="13">
        <v>0</v>
      </c>
      <c r="O38" s="76">
        <v>25846.26</v>
      </c>
      <c r="P38" s="81" t="s">
        <v>272</v>
      </c>
      <c r="Q38" s="123">
        <v>38</v>
      </c>
      <c r="R38" s="13"/>
      <c r="S38" s="13"/>
      <c r="T38" s="13">
        <f>LISTA[[#This Row],[VALOR FINAL]]+LISTA[[#This Row],[TARIFA IN]]+LISTA[[#This Row],[TARIFA OUT ]]</f>
        <v>25846.26</v>
      </c>
    </row>
    <row r="39" spans="1:20" x14ac:dyDescent="0.2">
      <c r="A39" s="201" t="s">
        <v>15</v>
      </c>
      <c r="B39" s="190">
        <v>44876</v>
      </c>
      <c r="C39" s="14" t="s">
        <v>47</v>
      </c>
      <c r="D39" s="14" t="s">
        <v>246</v>
      </c>
      <c r="E39" s="14" t="s">
        <v>239</v>
      </c>
      <c r="F39" s="14" t="s">
        <v>39</v>
      </c>
      <c r="G39" s="14" t="s">
        <v>39</v>
      </c>
      <c r="H39" s="14"/>
      <c r="I39" s="14" t="s">
        <v>248</v>
      </c>
      <c r="J39" s="14">
        <v>0</v>
      </c>
      <c r="K39" s="13">
        <v>43077.1</v>
      </c>
      <c r="L39" s="13">
        <v>0</v>
      </c>
      <c r="M39" s="13">
        <v>0</v>
      </c>
      <c r="N39" s="13">
        <v>0</v>
      </c>
      <c r="O39" s="76">
        <v>43077.1</v>
      </c>
      <c r="P39" s="81" t="s">
        <v>272</v>
      </c>
      <c r="Q39" s="123">
        <v>39</v>
      </c>
      <c r="R39" s="13"/>
      <c r="S39" s="13"/>
      <c r="T39" s="13">
        <f>LISTA[[#This Row],[VALOR FINAL]]+LISTA[[#This Row],[TARIFA IN]]+LISTA[[#This Row],[TARIFA OUT ]]</f>
        <v>43077.1</v>
      </c>
    </row>
    <row r="40" spans="1:20" x14ac:dyDescent="0.2">
      <c r="A40" s="201" t="s">
        <v>82</v>
      </c>
      <c r="B40" s="203">
        <v>44876</v>
      </c>
      <c r="C40" s="14" t="s">
        <v>42</v>
      </c>
      <c r="D40" s="200">
        <v>22148</v>
      </c>
      <c r="E40" s="14" t="s">
        <v>172</v>
      </c>
      <c r="F40" s="14" t="s">
        <v>39</v>
      </c>
      <c r="G40" s="14" t="s">
        <v>39</v>
      </c>
      <c r="H40" s="14"/>
      <c r="I40" s="14" t="s">
        <v>45</v>
      </c>
      <c r="J40" s="14">
        <v>7162</v>
      </c>
      <c r="K40" s="13">
        <v>43077.1</v>
      </c>
      <c r="L40" s="13">
        <v>0</v>
      </c>
      <c r="M40" s="13">
        <v>0</v>
      </c>
      <c r="N40" s="13">
        <v>0</v>
      </c>
      <c r="O40" s="76">
        <v>43077.1</v>
      </c>
      <c r="P40" s="81" t="s">
        <v>272</v>
      </c>
      <c r="Q40" s="123">
        <v>40</v>
      </c>
      <c r="R40" s="13">
        <v>7917.0180400000008</v>
      </c>
      <c r="S40" s="13">
        <v>0</v>
      </c>
      <c r="T40" s="13">
        <f>LISTA[[#This Row],[VALOR FINAL]]+LISTA[[#This Row],[TARIFA IN]]+LISTA[[#This Row],[TARIFA OUT ]]</f>
        <v>50994.118040000001</v>
      </c>
    </row>
    <row r="41" spans="1:20" x14ac:dyDescent="0.2">
      <c r="A41" s="201" t="s">
        <v>82</v>
      </c>
      <c r="B41" s="203">
        <v>44876</v>
      </c>
      <c r="C41" s="14" t="s">
        <v>40</v>
      </c>
      <c r="D41" s="200">
        <v>6718</v>
      </c>
      <c r="E41" s="14" t="s">
        <v>146</v>
      </c>
      <c r="F41" s="14" t="s">
        <v>39</v>
      </c>
      <c r="G41" s="14" t="s">
        <v>39</v>
      </c>
      <c r="H41" s="14"/>
      <c r="I41" s="14" t="s">
        <v>45</v>
      </c>
      <c r="J41" s="14">
        <v>26240</v>
      </c>
      <c r="K41" s="13">
        <v>43077.1</v>
      </c>
      <c r="L41" s="13">
        <v>0</v>
      </c>
      <c r="M41" s="13">
        <v>0</v>
      </c>
      <c r="N41" s="13">
        <v>0</v>
      </c>
      <c r="O41" s="76">
        <v>43077.1</v>
      </c>
      <c r="P41" s="81" t="s">
        <v>272</v>
      </c>
      <c r="Q41" s="123">
        <v>41</v>
      </c>
      <c r="R41" s="13">
        <v>29006.220800000003</v>
      </c>
      <c r="S41" s="13">
        <v>0</v>
      </c>
      <c r="T41" s="13">
        <f>LISTA[[#This Row],[VALOR FINAL]]+LISTA[[#This Row],[TARIFA IN]]+LISTA[[#This Row],[TARIFA OUT ]]</f>
        <v>72083.320800000001</v>
      </c>
    </row>
    <row r="42" spans="1:20" x14ac:dyDescent="0.2">
      <c r="A42" s="201" t="s">
        <v>82</v>
      </c>
      <c r="B42" s="203">
        <v>44876</v>
      </c>
      <c r="C42" s="14" t="s">
        <v>40</v>
      </c>
      <c r="D42" s="200">
        <v>6720</v>
      </c>
      <c r="E42" s="14" t="s">
        <v>146</v>
      </c>
      <c r="F42" s="14" t="s">
        <v>39</v>
      </c>
      <c r="G42" s="14" t="s">
        <v>39</v>
      </c>
      <c r="H42" s="14"/>
      <c r="I42" s="14" t="s">
        <v>45</v>
      </c>
      <c r="J42" s="14">
        <v>21235</v>
      </c>
      <c r="K42" s="13">
        <v>43077.1</v>
      </c>
      <c r="L42" s="13">
        <v>0</v>
      </c>
      <c r="M42" s="13">
        <v>0</v>
      </c>
      <c r="N42" s="13">
        <v>0</v>
      </c>
      <c r="O42" s="76">
        <v>43077.1</v>
      </c>
      <c r="P42" s="81" t="s">
        <v>272</v>
      </c>
      <c r="Q42" s="123">
        <v>42</v>
      </c>
      <c r="R42" s="13">
        <v>23473.593700000001</v>
      </c>
      <c r="S42" s="13">
        <v>0</v>
      </c>
      <c r="T42" s="13">
        <f>LISTA[[#This Row],[VALOR FINAL]]+LISTA[[#This Row],[TARIFA IN]]+LISTA[[#This Row],[TARIFA OUT ]]</f>
        <v>66550.693700000003</v>
      </c>
    </row>
    <row r="43" spans="1:20" x14ac:dyDescent="0.2">
      <c r="A43" s="13" t="s">
        <v>14</v>
      </c>
      <c r="B43" s="203">
        <v>44883</v>
      </c>
      <c r="C43" s="202" t="s">
        <v>148</v>
      </c>
      <c r="D43" s="14">
        <v>1604</v>
      </c>
      <c r="E43" s="14" t="s">
        <v>305</v>
      </c>
      <c r="F43" s="14" t="s">
        <v>123</v>
      </c>
      <c r="G43" s="14" t="s">
        <v>39</v>
      </c>
      <c r="H43" s="14"/>
      <c r="I43" s="14" t="s">
        <v>591</v>
      </c>
      <c r="J43" s="14">
        <v>10.199999999999999</v>
      </c>
      <c r="K43" s="13">
        <v>0</v>
      </c>
      <c r="L43" s="13">
        <v>1021.38</v>
      </c>
      <c r="M43" s="13"/>
      <c r="N43" s="13">
        <v>0</v>
      </c>
      <c r="O43" s="76">
        <v>1021.38</v>
      </c>
      <c r="P43" s="81" t="s">
        <v>272</v>
      </c>
      <c r="Q43" s="123">
        <v>309</v>
      </c>
      <c r="R43" s="13"/>
      <c r="S43" s="13"/>
      <c r="T43" s="13">
        <f>LISTA[[#This Row],[TARIFA OUT ]]+LISTA[[#This Row],[TARIFA IN]]+LISTA[[#This Row],[VALOR FINAL]]</f>
        <v>1021.38</v>
      </c>
    </row>
    <row r="44" spans="1:20" x14ac:dyDescent="0.2">
      <c r="A44" s="13" t="s">
        <v>14</v>
      </c>
      <c r="B44" s="203">
        <v>44887</v>
      </c>
      <c r="C44" s="202" t="s">
        <v>88</v>
      </c>
      <c r="D44" s="14">
        <v>1606</v>
      </c>
      <c r="E44" s="14" t="s">
        <v>438</v>
      </c>
      <c r="F44" s="14" t="s">
        <v>123</v>
      </c>
      <c r="G44" s="14" t="s">
        <v>39</v>
      </c>
      <c r="H44" s="14"/>
      <c r="I44" s="14" t="s">
        <v>653</v>
      </c>
      <c r="J44" s="14">
        <v>10</v>
      </c>
      <c r="K44" s="13">
        <v>0</v>
      </c>
      <c r="L44" s="13">
        <v>1036.48</v>
      </c>
      <c r="M44" s="13">
        <v>0</v>
      </c>
      <c r="N44" s="13">
        <v>0</v>
      </c>
      <c r="O44" s="76">
        <v>1036.48</v>
      </c>
      <c r="P44" s="81" t="s">
        <v>272</v>
      </c>
      <c r="Q44" s="123">
        <v>327</v>
      </c>
      <c r="R44" s="13"/>
      <c r="S44" s="13"/>
      <c r="T44" s="13">
        <f>LISTA[[#This Row],[TARIFA OUT ]]+LISTA[[#This Row],[TARIFA IN]]+LISTA[[#This Row],[VALOR FINAL]]</f>
        <v>1036.48</v>
      </c>
    </row>
    <row r="45" spans="1:20" x14ac:dyDescent="0.2">
      <c r="A45" s="13" t="s">
        <v>14</v>
      </c>
      <c r="B45" s="203">
        <v>44880</v>
      </c>
      <c r="C45" s="202" t="s">
        <v>90</v>
      </c>
      <c r="D45" s="14">
        <v>1637</v>
      </c>
      <c r="E45" s="14" t="s">
        <v>438</v>
      </c>
      <c r="F45" s="14" t="s">
        <v>123</v>
      </c>
      <c r="G45" s="14" t="s">
        <v>39</v>
      </c>
      <c r="H45" s="14"/>
      <c r="I45" s="14" t="s">
        <v>441</v>
      </c>
      <c r="J45" s="14">
        <v>410</v>
      </c>
      <c r="K45" s="13">
        <v>0</v>
      </c>
      <c r="L45" s="13">
        <v>2086.9</v>
      </c>
      <c r="M45" s="13"/>
      <c r="N45" s="13">
        <v>0</v>
      </c>
      <c r="O45" s="76">
        <v>2086.9</v>
      </c>
      <c r="P45" s="81" t="s">
        <v>272</v>
      </c>
      <c r="Q45" s="123">
        <v>171</v>
      </c>
      <c r="R45" s="13">
        <v>0</v>
      </c>
      <c r="S45" s="13">
        <v>1013.15961</v>
      </c>
      <c r="T45" s="13">
        <f>LISTA[[#This Row],[VALOR FINAL]]+LISTA[[#This Row],[TARIFA IN]]+LISTA[[#This Row],[TARIFA OUT ]]</f>
        <v>3100.0596100000002</v>
      </c>
    </row>
    <row r="46" spans="1:20" x14ac:dyDescent="0.2">
      <c r="A46" s="13" t="s">
        <v>14</v>
      </c>
      <c r="B46" s="203">
        <v>44881</v>
      </c>
      <c r="C46" s="202" t="s">
        <v>84</v>
      </c>
      <c r="D46" s="14">
        <v>1640</v>
      </c>
      <c r="E46" s="14" t="s">
        <v>445</v>
      </c>
      <c r="F46" s="14" t="s">
        <v>123</v>
      </c>
      <c r="G46" s="14" t="s">
        <v>39</v>
      </c>
      <c r="H46" s="14"/>
      <c r="I46" s="14" t="s">
        <v>446</v>
      </c>
      <c r="J46" s="14">
        <v>220</v>
      </c>
      <c r="K46" s="13">
        <v>0</v>
      </c>
      <c r="L46" s="13">
        <f>+LISTA[[#This Row],[KILOS]]*5.09</f>
        <v>1119.8</v>
      </c>
      <c r="M46" s="13">
        <v>0</v>
      </c>
      <c r="N46" s="13">
        <v>0</v>
      </c>
      <c r="O46" s="76">
        <f>+LISTA[[#This Row],[KILOS]]*5.09</f>
        <v>1119.8</v>
      </c>
      <c r="P46" s="81" t="s">
        <v>272</v>
      </c>
      <c r="Q46" s="123">
        <v>174</v>
      </c>
      <c r="R46" s="13">
        <v>0</v>
      </c>
      <c r="S46" s="13">
        <v>543.64661999999998</v>
      </c>
      <c r="T46" s="13">
        <f>LISTA[[#This Row],[VALOR FINAL]]+LISTA[[#This Row],[TARIFA IN]]+LISTA[[#This Row],[TARIFA OUT ]]</f>
        <v>1663.4466199999999</v>
      </c>
    </row>
    <row r="47" spans="1:20" x14ac:dyDescent="0.2">
      <c r="A47" s="13" t="s">
        <v>14</v>
      </c>
      <c r="B47" s="203">
        <v>44879</v>
      </c>
      <c r="C47" s="202" t="s">
        <v>88</v>
      </c>
      <c r="D47" s="14" t="s">
        <v>345</v>
      </c>
      <c r="E47" s="14" t="s">
        <v>346</v>
      </c>
      <c r="F47" s="14" t="s">
        <v>123</v>
      </c>
      <c r="G47" s="14" t="s">
        <v>39</v>
      </c>
      <c r="H47" s="14"/>
      <c r="I47" s="14" t="s">
        <v>347</v>
      </c>
      <c r="J47" s="14">
        <v>252</v>
      </c>
      <c r="K47" s="13">
        <v>0</v>
      </c>
      <c r="L47" s="13">
        <f>LISTA[[#This Row],[KILOS]]*5.09</f>
        <v>1282.68</v>
      </c>
      <c r="M47" s="13">
        <v>0</v>
      </c>
      <c r="N47" s="13">
        <v>0</v>
      </c>
      <c r="O47" s="13">
        <f>LISTA[[#This Row],[KILOS]]*5.09</f>
        <v>1282.68</v>
      </c>
      <c r="P47" s="81" t="s">
        <v>272</v>
      </c>
      <c r="Q47" s="123">
        <v>116</v>
      </c>
      <c r="R47" s="13">
        <v>0</v>
      </c>
      <c r="S47" s="13">
        <v>24.711210000000001</v>
      </c>
      <c r="T47" s="13">
        <f>LISTA[[#This Row],[VALOR FINAL]]+LISTA[[#This Row],[TARIFA IN]]+LISTA[[#This Row],[TARIFA OUT ]]</f>
        <v>1307.39121</v>
      </c>
    </row>
    <row r="48" spans="1:20" x14ac:dyDescent="0.2">
      <c r="A48" s="13" t="s">
        <v>14</v>
      </c>
      <c r="B48" s="203">
        <v>44879</v>
      </c>
      <c r="C48" s="202" t="s">
        <v>38</v>
      </c>
      <c r="D48" s="14" t="s">
        <v>356</v>
      </c>
      <c r="E48" s="14" t="s">
        <v>357</v>
      </c>
      <c r="F48" s="14" t="s">
        <v>123</v>
      </c>
      <c r="G48" s="14" t="s">
        <v>39</v>
      </c>
      <c r="H48" s="14"/>
      <c r="I48" s="14" t="s">
        <v>358</v>
      </c>
      <c r="J48" s="14">
        <v>1209</v>
      </c>
      <c r="K48" s="13">
        <v>0</v>
      </c>
      <c r="L48" s="13">
        <v>1036.48</v>
      </c>
      <c r="M48" s="13">
        <v>0</v>
      </c>
      <c r="N48" s="13">
        <v>0</v>
      </c>
      <c r="O48" s="13">
        <v>1036.48</v>
      </c>
      <c r="P48" s="81" t="s">
        <v>272</v>
      </c>
      <c r="Q48" s="123">
        <v>122</v>
      </c>
      <c r="R48" s="13">
        <v>0</v>
      </c>
      <c r="S48" s="13">
        <v>172.97847000000002</v>
      </c>
      <c r="T48" s="13">
        <f>LISTA[[#This Row],[VALOR FINAL]]+LISTA[[#This Row],[TARIFA IN]]+LISTA[[#This Row],[TARIFA OUT ]]</f>
        <v>1209.45847</v>
      </c>
    </row>
    <row r="49" spans="1:20" x14ac:dyDescent="0.2">
      <c r="A49" s="13" t="s">
        <v>14</v>
      </c>
      <c r="B49" s="203">
        <v>44881</v>
      </c>
      <c r="C49" s="202" t="s">
        <v>48</v>
      </c>
      <c r="D49" s="14" t="s">
        <v>448</v>
      </c>
      <c r="E49" s="14" t="s">
        <v>449</v>
      </c>
      <c r="F49" s="14" t="s">
        <v>450</v>
      </c>
      <c r="G49" s="14" t="s">
        <v>39</v>
      </c>
      <c r="H49" s="14"/>
      <c r="I49" s="14" t="s">
        <v>451</v>
      </c>
      <c r="J49" s="14">
        <v>104</v>
      </c>
      <c r="K49" s="13">
        <v>0</v>
      </c>
      <c r="L49" s="13">
        <v>1036.48</v>
      </c>
      <c r="M49" s="13">
        <v>0</v>
      </c>
      <c r="N49" s="13">
        <v>0</v>
      </c>
      <c r="O49" s="76">
        <v>1036.48</v>
      </c>
      <c r="P49" s="81" t="s">
        <v>272</v>
      </c>
      <c r="Q49" s="123">
        <v>176</v>
      </c>
      <c r="R49" s="13">
        <v>0</v>
      </c>
      <c r="S49" s="13">
        <v>9.8844840000000005</v>
      </c>
      <c r="T49" s="13">
        <f>LISTA[[#This Row],[VALOR FINAL]]+LISTA[[#This Row],[TARIFA IN]]+LISTA[[#This Row],[TARIFA OUT ]]</f>
        <v>1046.3644839999999</v>
      </c>
    </row>
    <row r="50" spans="1:20" x14ac:dyDescent="0.2">
      <c r="A50" s="13" t="s">
        <v>14</v>
      </c>
      <c r="B50" s="203">
        <v>44879</v>
      </c>
      <c r="C50" s="202" t="s">
        <v>91</v>
      </c>
      <c r="D50" s="14" t="s">
        <v>289</v>
      </c>
      <c r="E50" s="14" t="s">
        <v>290</v>
      </c>
      <c r="F50" s="14" t="s">
        <v>291</v>
      </c>
      <c r="G50" s="14" t="s">
        <v>39</v>
      </c>
      <c r="H50" s="14"/>
      <c r="I50" s="14" t="s">
        <v>292</v>
      </c>
      <c r="J50" s="14">
        <v>301</v>
      </c>
      <c r="K50" s="13">
        <v>0</v>
      </c>
      <c r="L50" s="13">
        <f>LISTA[[#This Row],[KILOS]]*5.09</f>
        <v>1532.09</v>
      </c>
      <c r="M50" s="13">
        <v>0</v>
      </c>
      <c r="N50" s="13">
        <v>0</v>
      </c>
      <c r="O50" s="13">
        <f>LISTA[[#This Row],[KILOS]]*5.09</f>
        <v>1532.09</v>
      </c>
      <c r="P50" s="81" t="s">
        <v>272</v>
      </c>
      <c r="Q50" s="123">
        <v>93</v>
      </c>
      <c r="R50" s="13">
        <v>0</v>
      </c>
      <c r="S50" s="13">
        <v>22.240089000000001</v>
      </c>
      <c r="T50" s="13">
        <f>LISTA[[#This Row],[VALOR FINAL]]+LISTA[[#This Row],[TARIFA IN]]+LISTA[[#This Row],[TARIFA OUT ]]</f>
        <v>1554.3300889999998</v>
      </c>
    </row>
    <row r="51" spans="1:20" x14ac:dyDescent="0.2">
      <c r="A51" s="13" t="s">
        <v>14</v>
      </c>
      <c r="B51" s="203">
        <v>44879</v>
      </c>
      <c r="C51" s="202" t="s">
        <v>91</v>
      </c>
      <c r="D51" s="14" t="s">
        <v>293</v>
      </c>
      <c r="E51" s="14" t="s">
        <v>294</v>
      </c>
      <c r="F51" s="14" t="s">
        <v>123</v>
      </c>
      <c r="G51" s="14" t="s">
        <v>39</v>
      </c>
      <c r="H51" s="14"/>
      <c r="I51" s="14" t="s">
        <v>295</v>
      </c>
      <c r="J51" s="14">
        <v>1206</v>
      </c>
      <c r="K51" s="13">
        <v>0</v>
      </c>
      <c r="L51" s="13">
        <f>LISTA[[#This Row],[KILOS]]*5.07</f>
        <v>6114.42</v>
      </c>
      <c r="M51" s="13">
        <v>0</v>
      </c>
      <c r="N51" s="13">
        <v>0</v>
      </c>
      <c r="O51" s="13">
        <f>LISTA[[#This Row],[KILOS]]*5.07</f>
        <v>6114.42</v>
      </c>
      <c r="P51" s="81" t="s">
        <v>272</v>
      </c>
      <c r="Q51" s="123">
        <v>94</v>
      </c>
      <c r="R51" s="13">
        <v>0</v>
      </c>
      <c r="S51" s="13">
        <v>103.787082</v>
      </c>
      <c r="T51" s="13">
        <f>LISTA[[#This Row],[VALOR FINAL]]+LISTA[[#This Row],[TARIFA IN]]+LISTA[[#This Row],[TARIFA OUT ]]</f>
        <v>6218.2070819999999</v>
      </c>
    </row>
    <row r="52" spans="1:20" x14ac:dyDescent="0.2">
      <c r="A52" s="13" t="s">
        <v>14</v>
      </c>
      <c r="B52" s="203">
        <v>44880</v>
      </c>
      <c r="C52" s="202" t="s">
        <v>91</v>
      </c>
      <c r="D52" s="14" t="s">
        <v>385</v>
      </c>
      <c r="E52" s="14" t="s">
        <v>386</v>
      </c>
      <c r="F52" s="14" t="s">
        <v>401</v>
      </c>
      <c r="G52" s="14" t="s">
        <v>39</v>
      </c>
      <c r="H52" s="14"/>
      <c r="I52" s="14" t="s">
        <v>387</v>
      </c>
      <c r="J52" s="14">
        <v>50</v>
      </c>
      <c r="K52" s="13">
        <v>0</v>
      </c>
      <c r="L52" s="13">
        <v>1021.38</v>
      </c>
      <c r="M52" s="13"/>
      <c r="N52" s="13">
        <v>0</v>
      </c>
      <c r="O52" s="13">
        <v>1021.38</v>
      </c>
      <c r="P52" s="81" t="s">
        <v>272</v>
      </c>
      <c r="Q52" s="123">
        <v>144</v>
      </c>
      <c r="R52" s="13">
        <v>0</v>
      </c>
      <c r="S52" s="13">
        <v>4.9422420000000002</v>
      </c>
      <c r="T52" s="13">
        <f>LISTA[[#This Row],[VALOR FINAL]]+LISTA[[#This Row],[TARIFA IN]]+LISTA[[#This Row],[TARIFA OUT ]]</f>
        <v>1026.322242</v>
      </c>
    </row>
    <row r="53" spans="1:20" x14ac:dyDescent="0.2">
      <c r="A53" s="13" t="s">
        <v>14</v>
      </c>
      <c r="B53" s="203">
        <v>44876</v>
      </c>
      <c r="C53" s="202" t="s">
        <v>38</v>
      </c>
      <c r="D53" s="14" t="s">
        <v>249</v>
      </c>
      <c r="E53" s="14" t="s">
        <v>204</v>
      </c>
      <c r="F53" s="14" t="s">
        <v>205</v>
      </c>
      <c r="G53" s="14" t="s">
        <v>39</v>
      </c>
      <c r="H53" s="14"/>
      <c r="I53" s="14" t="s">
        <v>163</v>
      </c>
      <c r="J53" s="14">
        <v>152</v>
      </c>
      <c r="K53" s="13">
        <v>0</v>
      </c>
      <c r="L53" s="13">
        <v>1021.38</v>
      </c>
      <c r="M53" s="13">
        <v>0</v>
      </c>
      <c r="N53" s="13">
        <v>0</v>
      </c>
      <c r="O53" s="76">
        <v>1021.38</v>
      </c>
      <c r="P53" s="81" t="s">
        <v>272</v>
      </c>
      <c r="Q53" s="123">
        <v>43</v>
      </c>
      <c r="R53" s="13">
        <v>0</v>
      </c>
      <c r="S53" s="13">
        <v>19.768968000000001</v>
      </c>
      <c r="T53" s="13">
        <f>LISTA[[#This Row],[VALOR FINAL]]+LISTA[[#This Row],[TARIFA IN]]+LISTA[[#This Row],[TARIFA OUT ]]</f>
        <v>1041.148968</v>
      </c>
    </row>
    <row r="54" spans="1:20" x14ac:dyDescent="0.2">
      <c r="A54" s="13" t="s">
        <v>14</v>
      </c>
      <c r="B54" s="203">
        <v>44876</v>
      </c>
      <c r="C54" s="202" t="s">
        <v>38</v>
      </c>
      <c r="D54" s="14" t="s">
        <v>250</v>
      </c>
      <c r="E54" s="14" t="s">
        <v>192</v>
      </c>
      <c r="F54" s="14" t="s">
        <v>95</v>
      </c>
      <c r="G54" s="14" t="s">
        <v>97</v>
      </c>
      <c r="H54" s="14"/>
      <c r="I54" s="14" t="s">
        <v>193</v>
      </c>
      <c r="J54" s="14">
        <v>5329.74</v>
      </c>
      <c r="K54" s="13">
        <v>0</v>
      </c>
      <c r="L54" s="13">
        <v>17215.060000000001</v>
      </c>
      <c r="M54" s="13">
        <v>87940.71</v>
      </c>
      <c r="N54" s="13">
        <v>0</v>
      </c>
      <c r="O54" s="76">
        <v>105155.77</v>
      </c>
      <c r="P54" s="81" t="s">
        <v>272</v>
      </c>
      <c r="Q54" s="123">
        <v>44</v>
      </c>
      <c r="R54" s="13">
        <v>0</v>
      </c>
      <c r="S54" s="13">
        <v>13170.43243854</v>
      </c>
      <c r="T54" s="13">
        <f>LISTA[[#This Row],[VALOR FINAL]]+LISTA[[#This Row],[TARIFA IN]]+LISTA[[#This Row],[TARIFA OUT ]]</f>
        <v>118326.20243854</v>
      </c>
    </row>
    <row r="55" spans="1:20" x14ac:dyDescent="0.2">
      <c r="A55" s="13" t="s">
        <v>14</v>
      </c>
      <c r="B55" s="203">
        <v>44876</v>
      </c>
      <c r="C55" s="202" t="s">
        <v>38</v>
      </c>
      <c r="D55" s="14" t="s">
        <v>251</v>
      </c>
      <c r="E55" s="14" t="s">
        <v>199</v>
      </c>
      <c r="F55" s="14" t="s">
        <v>206</v>
      </c>
      <c r="G55" s="14" t="s">
        <v>97</v>
      </c>
      <c r="H55" s="14"/>
      <c r="I55" s="14" t="s">
        <v>200</v>
      </c>
      <c r="J55" s="14">
        <v>893.76</v>
      </c>
      <c r="K55" s="13">
        <v>0</v>
      </c>
      <c r="L55" s="13">
        <v>4486.68</v>
      </c>
      <c r="M55" s="13">
        <v>13978.41</v>
      </c>
      <c r="N55" s="13">
        <v>0</v>
      </c>
      <c r="O55" s="76">
        <v>18465.080000000002</v>
      </c>
      <c r="P55" s="81" t="s">
        <v>272</v>
      </c>
      <c r="Q55" s="123">
        <v>45</v>
      </c>
      <c r="R55" s="13">
        <v>0</v>
      </c>
      <c r="S55" s="13">
        <v>2208.58910496</v>
      </c>
      <c r="T55" s="13">
        <f>LISTA[[#This Row],[VALOR FINAL]]+LISTA[[#This Row],[TARIFA IN]]+LISTA[[#This Row],[TARIFA OUT ]]</f>
        <v>20673.669104960001</v>
      </c>
    </row>
    <row r="56" spans="1:20" x14ac:dyDescent="0.2">
      <c r="A56" s="13" t="s">
        <v>14</v>
      </c>
      <c r="B56" s="203">
        <v>44876</v>
      </c>
      <c r="C56" s="202" t="s">
        <v>90</v>
      </c>
      <c r="D56" s="14" t="s">
        <v>269</v>
      </c>
      <c r="E56" s="14" t="s">
        <v>270</v>
      </c>
      <c r="F56" s="14" t="s">
        <v>39</v>
      </c>
      <c r="G56" s="14" t="s">
        <v>39</v>
      </c>
      <c r="H56" s="14"/>
      <c r="I56" s="14" t="s">
        <v>271</v>
      </c>
      <c r="J56" s="14">
        <v>948</v>
      </c>
      <c r="K56" s="13"/>
      <c r="L56" s="13">
        <f>+LISTA[[#This Row],[KILOS]]*5.09</f>
        <v>4825.32</v>
      </c>
      <c r="M56" s="13">
        <v>0</v>
      </c>
      <c r="N56" s="13">
        <v>0</v>
      </c>
      <c r="O56" s="13">
        <f>+LISTA[[#This Row],[KILOS]]*5.09</f>
        <v>4825.32</v>
      </c>
      <c r="P56" s="81" t="s">
        <v>272</v>
      </c>
      <c r="Q56" s="123">
        <v>56</v>
      </c>
      <c r="R56" s="13">
        <v>0</v>
      </c>
      <c r="S56" s="13">
        <v>2342.6227080000003</v>
      </c>
      <c r="T56" s="13">
        <f>LISTA[[#This Row],[VALOR FINAL]]+LISTA[[#This Row],[TARIFA IN]]+LISTA[[#This Row],[TARIFA OUT ]]</f>
        <v>7167.9427080000005</v>
      </c>
    </row>
    <row r="57" spans="1:20" x14ac:dyDescent="0.2">
      <c r="A57" s="201" t="s">
        <v>184</v>
      </c>
      <c r="B57" s="203">
        <v>44879</v>
      </c>
      <c r="C57" s="14" t="s">
        <v>44</v>
      </c>
      <c r="D57" s="14">
        <v>78497</v>
      </c>
      <c r="E57" s="14" t="s">
        <v>273</v>
      </c>
      <c r="F57" s="14" t="s">
        <v>39</v>
      </c>
      <c r="G57" s="14" t="s">
        <v>39</v>
      </c>
      <c r="H57" s="14"/>
      <c r="I57" s="14" t="s">
        <v>274</v>
      </c>
      <c r="J57" s="14">
        <v>13002</v>
      </c>
      <c r="K57" s="13">
        <v>85456</v>
      </c>
      <c r="L57" s="13">
        <v>0</v>
      </c>
      <c r="M57" s="13">
        <v>0</v>
      </c>
      <c r="N57" s="13">
        <v>0</v>
      </c>
      <c r="O57" s="76">
        <v>85456</v>
      </c>
      <c r="P57" s="81" t="s">
        <v>272</v>
      </c>
      <c r="Q57" s="123">
        <v>57</v>
      </c>
      <c r="R57" s="13">
        <v>14372.670840000001</v>
      </c>
      <c r="S57" s="13">
        <v>0</v>
      </c>
      <c r="T57" s="13">
        <f>LISTA[[#This Row],[VALOR FINAL]]+LISTA[[#This Row],[TARIFA IN]]+LISTA[[#This Row],[TARIFA OUT ]]</f>
        <v>99828.670840000006</v>
      </c>
    </row>
    <row r="58" spans="1:20" x14ac:dyDescent="0.2">
      <c r="A58" s="201" t="s">
        <v>82</v>
      </c>
      <c r="B58" s="203">
        <v>44879</v>
      </c>
      <c r="C58" s="14" t="s">
        <v>78</v>
      </c>
      <c r="D58" s="14">
        <v>158841</v>
      </c>
      <c r="E58" s="14" t="s">
        <v>275</v>
      </c>
      <c r="F58" s="14" t="s">
        <v>39</v>
      </c>
      <c r="G58" s="14" t="s">
        <v>39</v>
      </c>
      <c r="H58" s="14"/>
      <c r="I58" s="14" t="s">
        <v>45</v>
      </c>
      <c r="J58" s="14">
        <v>18420</v>
      </c>
      <c r="K58" s="13">
        <v>43077.1</v>
      </c>
      <c r="L58" s="13">
        <v>0</v>
      </c>
      <c r="M58" s="13">
        <v>0</v>
      </c>
      <c r="N58" s="13">
        <v>0</v>
      </c>
      <c r="O58" s="13">
        <v>43077.1</v>
      </c>
      <c r="P58" s="81" t="s">
        <v>272</v>
      </c>
      <c r="Q58" s="123">
        <v>58</v>
      </c>
      <c r="R58" s="13">
        <v>20361.8364</v>
      </c>
      <c r="S58" s="13">
        <v>0</v>
      </c>
      <c r="T58" s="13">
        <f>LISTA[[#This Row],[VALOR FINAL]]+LISTA[[#This Row],[TARIFA IN]]+LISTA[[#This Row],[TARIFA OUT ]]</f>
        <v>63438.936399999999</v>
      </c>
    </row>
    <row r="59" spans="1:20" x14ac:dyDescent="0.2">
      <c r="A59" s="201" t="s">
        <v>76</v>
      </c>
      <c r="B59" s="203">
        <v>44879</v>
      </c>
      <c r="C59" s="14" t="s">
        <v>40</v>
      </c>
      <c r="D59" s="14">
        <v>1597</v>
      </c>
      <c r="E59" s="14" t="s">
        <v>177</v>
      </c>
      <c r="F59" s="14" t="s">
        <v>39</v>
      </c>
      <c r="G59" s="14" t="s">
        <v>39</v>
      </c>
      <c r="H59" s="14"/>
      <c r="I59" s="14" t="s">
        <v>178</v>
      </c>
      <c r="J59" s="14">
        <v>12710</v>
      </c>
      <c r="K59" s="13">
        <v>43077.1</v>
      </c>
      <c r="L59" s="13">
        <v>0</v>
      </c>
      <c r="M59" s="13">
        <v>0</v>
      </c>
      <c r="N59" s="13">
        <v>0</v>
      </c>
      <c r="O59" s="76">
        <v>43077.1</v>
      </c>
      <c r="P59" s="81" t="s">
        <v>272</v>
      </c>
      <c r="Q59" s="123">
        <v>59</v>
      </c>
      <c r="R59" s="13">
        <v>0</v>
      </c>
      <c r="S59" s="13">
        <v>31407.947910000003</v>
      </c>
      <c r="T59" s="13">
        <f>LISTA[[#This Row],[VALOR FINAL]]+LISTA[[#This Row],[TARIFA IN]]+LISTA[[#This Row],[TARIFA OUT ]]</f>
        <v>74485.047909999994</v>
      </c>
    </row>
    <row r="60" spans="1:20" x14ac:dyDescent="0.2">
      <c r="A60" s="201" t="s">
        <v>76</v>
      </c>
      <c r="B60" s="203">
        <v>44879</v>
      </c>
      <c r="C60" s="14" t="s">
        <v>78</v>
      </c>
      <c r="D60" s="14">
        <v>1593</v>
      </c>
      <c r="E60" s="14" t="s">
        <v>276</v>
      </c>
      <c r="F60" s="14" t="s">
        <v>39</v>
      </c>
      <c r="G60" s="14" t="s">
        <v>39</v>
      </c>
      <c r="H60" s="14"/>
      <c r="I60" s="14" t="s">
        <v>277</v>
      </c>
      <c r="J60" s="14">
        <v>171</v>
      </c>
      <c r="K60" s="13">
        <v>43077.1</v>
      </c>
      <c r="L60" s="13">
        <v>0</v>
      </c>
      <c r="M60" s="13">
        <v>0</v>
      </c>
      <c r="N60" s="13">
        <v>0</v>
      </c>
      <c r="O60" s="76">
        <v>43077.1</v>
      </c>
      <c r="P60" s="81" t="s">
        <v>272</v>
      </c>
      <c r="Q60" s="123">
        <v>60</v>
      </c>
      <c r="R60" s="13">
        <v>0</v>
      </c>
      <c r="S60" s="13">
        <v>422.561691</v>
      </c>
      <c r="T60" s="13">
        <f>LISTA[[#This Row],[VALOR FINAL]]+LISTA[[#This Row],[TARIFA IN]]+LISTA[[#This Row],[TARIFA OUT ]]</f>
        <v>43499.661691000001</v>
      </c>
    </row>
    <row r="61" spans="1:20" x14ac:dyDescent="0.2">
      <c r="A61" s="201" t="s">
        <v>15</v>
      </c>
      <c r="B61" s="190">
        <v>44867</v>
      </c>
      <c r="C61" s="14" t="s">
        <v>83</v>
      </c>
      <c r="D61" s="14" t="s">
        <v>278</v>
      </c>
      <c r="E61" s="14" t="s">
        <v>279</v>
      </c>
      <c r="F61" s="14" t="s">
        <v>39</v>
      </c>
      <c r="G61" s="14" t="s">
        <v>39</v>
      </c>
      <c r="H61" s="14"/>
      <c r="I61" s="14" t="s">
        <v>280</v>
      </c>
      <c r="J61" s="14">
        <v>20040</v>
      </c>
      <c r="K61" s="13">
        <v>43077.1</v>
      </c>
      <c r="L61" s="13">
        <v>0</v>
      </c>
      <c r="M61" s="13">
        <v>0</v>
      </c>
      <c r="N61" s="13">
        <v>0</v>
      </c>
      <c r="O61" s="76">
        <v>43077.1</v>
      </c>
      <c r="P61" s="81" t="s">
        <v>272</v>
      </c>
      <c r="Q61" s="123">
        <v>61</v>
      </c>
      <c r="R61" s="13"/>
      <c r="S61" s="13"/>
      <c r="T61" s="13">
        <f>LISTA[[#This Row],[VALOR FINAL]]+LISTA[[#This Row],[TARIFA IN]]+LISTA[[#This Row],[TARIFA OUT ]]</f>
        <v>43077.1</v>
      </c>
    </row>
    <row r="62" spans="1:20" x14ac:dyDescent="0.2">
      <c r="A62" s="201" t="s">
        <v>15</v>
      </c>
      <c r="B62" s="190">
        <v>44868</v>
      </c>
      <c r="C62" s="14"/>
      <c r="D62" s="14" t="s">
        <v>278</v>
      </c>
      <c r="E62" s="14" t="s">
        <v>242</v>
      </c>
      <c r="F62" s="14" t="s">
        <v>39</v>
      </c>
      <c r="G62" s="14" t="s">
        <v>39</v>
      </c>
      <c r="H62" s="14"/>
      <c r="I62" s="14" t="s">
        <v>45</v>
      </c>
      <c r="J62" s="14">
        <v>0</v>
      </c>
      <c r="K62" s="13">
        <v>25846.26</v>
      </c>
      <c r="L62" s="13">
        <v>0</v>
      </c>
      <c r="M62" s="13">
        <v>0</v>
      </c>
      <c r="N62" s="13">
        <v>0</v>
      </c>
      <c r="O62" s="76">
        <v>25846.26</v>
      </c>
      <c r="P62" s="81" t="s">
        <v>272</v>
      </c>
      <c r="Q62" s="123">
        <v>62</v>
      </c>
      <c r="R62" s="13"/>
      <c r="S62" s="13"/>
      <c r="T62" s="13">
        <f>LISTA[[#This Row],[VALOR FINAL]]+LISTA[[#This Row],[TARIFA IN]]+LISTA[[#This Row],[TARIFA OUT ]]</f>
        <v>25846.26</v>
      </c>
    </row>
    <row r="63" spans="1:20" x14ac:dyDescent="0.2">
      <c r="A63" s="201" t="s">
        <v>15</v>
      </c>
      <c r="B63" s="190">
        <v>44869</v>
      </c>
      <c r="C63" s="14"/>
      <c r="D63" s="14" t="s">
        <v>278</v>
      </c>
      <c r="E63" s="14" t="s">
        <v>242</v>
      </c>
      <c r="F63" s="14" t="s">
        <v>39</v>
      </c>
      <c r="G63" s="14" t="s">
        <v>39</v>
      </c>
      <c r="H63" s="14"/>
      <c r="I63" s="14" t="s">
        <v>45</v>
      </c>
      <c r="J63" s="14">
        <v>0</v>
      </c>
      <c r="K63" s="13">
        <v>25846.26</v>
      </c>
      <c r="L63" s="13">
        <v>0</v>
      </c>
      <c r="M63" s="13">
        <v>0</v>
      </c>
      <c r="N63" s="13">
        <v>0</v>
      </c>
      <c r="O63" s="76">
        <v>25846.26</v>
      </c>
      <c r="P63" s="81" t="s">
        <v>272</v>
      </c>
      <c r="Q63" s="123">
        <v>63</v>
      </c>
      <c r="R63" s="13"/>
      <c r="S63" s="13"/>
      <c r="T63" s="13">
        <f>LISTA[[#This Row],[VALOR FINAL]]+LISTA[[#This Row],[TARIFA IN]]+LISTA[[#This Row],[TARIFA OUT ]]</f>
        <v>25846.26</v>
      </c>
    </row>
    <row r="64" spans="1:20" x14ac:dyDescent="0.2">
      <c r="A64" s="201" t="s">
        <v>15</v>
      </c>
      <c r="B64" s="190">
        <v>44870</v>
      </c>
      <c r="C64" s="14"/>
      <c r="D64" s="14" t="s">
        <v>278</v>
      </c>
      <c r="E64" s="14" t="s">
        <v>242</v>
      </c>
      <c r="F64" s="14" t="s">
        <v>39</v>
      </c>
      <c r="G64" s="14" t="s">
        <v>39</v>
      </c>
      <c r="H64" s="14"/>
      <c r="I64" s="14" t="s">
        <v>45</v>
      </c>
      <c r="J64" s="14">
        <v>0</v>
      </c>
      <c r="K64" s="13">
        <v>25846.26</v>
      </c>
      <c r="L64" s="13">
        <v>0</v>
      </c>
      <c r="M64" s="13">
        <v>0</v>
      </c>
      <c r="N64" s="13">
        <v>0</v>
      </c>
      <c r="O64" s="76">
        <v>25846.26</v>
      </c>
      <c r="P64" s="81" t="s">
        <v>272</v>
      </c>
      <c r="Q64" s="123">
        <v>64</v>
      </c>
      <c r="R64" s="13"/>
      <c r="S64" s="13"/>
      <c r="T64" s="13">
        <f>LISTA[[#This Row],[VALOR FINAL]]+LISTA[[#This Row],[TARIFA IN]]+LISTA[[#This Row],[TARIFA OUT ]]</f>
        <v>25846.26</v>
      </c>
    </row>
    <row r="65" spans="1:20" x14ac:dyDescent="0.2">
      <c r="A65" s="201" t="s">
        <v>15</v>
      </c>
      <c r="B65" s="190">
        <v>44871</v>
      </c>
      <c r="C65" s="14"/>
      <c r="D65" s="14" t="s">
        <v>278</v>
      </c>
      <c r="E65" s="14" t="s">
        <v>242</v>
      </c>
      <c r="F65" s="14" t="s">
        <v>39</v>
      </c>
      <c r="G65" s="14" t="s">
        <v>39</v>
      </c>
      <c r="H65" s="14"/>
      <c r="I65" s="14" t="s">
        <v>45</v>
      </c>
      <c r="J65" s="14">
        <v>0</v>
      </c>
      <c r="K65" s="13">
        <v>25846.26</v>
      </c>
      <c r="L65" s="13">
        <v>0</v>
      </c>
      <c r="M65" s="13">
        <v>0</v>
      </c>
      <c r="N65" s="13">
        <v>0</v>
      </c>
      <c r="O65" s="76">
        <v>25846.26</v>
      </c>
      <c r="P65" s="81" t="s">
        <v>272</v>
      </c>
      <c r="Q65" s="123">
        <v>65</v>
      </c>
      <c r="R65" s="13"/>
      <c r="S65" s="13"/>
      <c r="T65" s="13">
        <f>LISTA[[#This Row],[VALOR FINAL]]+LISTA[[#This Row],[TARIFA IN]]+LISTA[[#This Row],[TARIFA OUT ]]</f>
        <v>25846.26</v>
      </c>
    </row>
    <row r="66" spans="1:20" x14ac:dyDescent="0.2">
      <c r="A66" s="201" t="s">
        <v>15</v>
      </c>
      <c r="B66" s="190">
        <v>44872</v>
      </c>
      <c r="C66" s="14"/>
      <c r="D66" s="14" t="s">
        <v>278</v>
      </c>
      <c r="E66" s="14" t="s">
        <v>242</v>
      </c>
      <c r="F66" s="14" t="s">
        <v>39</v>
      </c>
      <c r="G66" s="14" t="s">
        <v>39</v>
      </c>
      <c r="H66" s="14"/>
      <c r="I66" s="14" t="s">
        <v>45</v>
      </c>
      <c r="J66" s="14">
        <v>0</v>
      </c>
      <c r="K66" s="13">
        <v>25846.26</v>
      </c>
      <c r="L66" s="13">
        <v>0</v>
      </c>
      <c r="M66" s="13">
        <v>0</v>
      </c>
      <c r="N66" s="13">
        <v>0</v>
      </c>
      <c r="O66" s="76">
        <v>25846.26</v>
      </c>
      <c r="P66" s="81" t="s">
        <v>272</v>
      </c>
      <c r="Q66" s="123">
        <v>66</v>
      </c>
      <c r="R66" s="13"/>
      <c r="S66" s="13"/>
      <c r="T66" s="13">
        <f>LISTA[[#This Row],[VALOR FINAL]]+LISTA[[#This Row],[TARIFA IN]]+LISTA[[#This Row],[TARIFA OUT ]]</f>
        <v>25846.26</v>
      </c>
    </row>
    <row r="67" spans="1:20" x14ac:dyDescent="0.2">
      <c r="A67" s="201" t="s">
        <v>15</v>
      </c>
      <c r="B67" s="190">
        <v>44873</v>
      </c>
      <c r="C67" s="14" t="s">
        <v>42</v>
      </c>
      <c r="D67" s="14" t="s">
        <v>278</v>
      </c>
      <c r="E67" s="14" t="s">
        <v>283</v>
      </c>
      <c r="F67" s="14" t="s">
        <v>39</v>
      </c>
      <c r="G67" s="14" t="s">
        <v>39</v>
      </c>
      <c r="H67" s="14"/>
      <c r="I67" s="14" t="s">
        <v>178</v>
      </c>
      <c r="J67" s="14">
        <v>0</v>
      </c>
      <c r="K67" s="13">
        <v>43077.1</v>
      </c>
      <c r="L67" s="13">
        <v>0</v>
      </c>
      <c r="M67" s="13">
        <v>0</v>
      </c>
      <c r="N67" s="13">
        <v>0</v>
      </c>
      <c r="O67" s="76">
        <v>43077.1</v>
      </c>
      <c r="P67" s="81" t="s">
        <v>272</v>
      </c>
      <c r="Q67" s="123">
        <v>67</v>
      </c>
      <c r="R67" s="13"/>
      <c r="S67" s="13"/>
      <c r="T67" s="13">
        <f>LISTA[[#This Row],[VALOR FINAL]]+LISTA[[#This Row],[TARIFA IN]]+LISTA[[#This Row],[TARIFA OUT ]]</f>
        <v>43077.1</v>
      </c>
    </row>
    <row r="68" spans="1:20" x14ac:dyDescent="0.2">
      <c r="A68" s="201" t="s">
        <v>15</v>
      </c>
      <c r="B68" s="190">
        <v>44874</v>
      </c>
      <c r="C68" s="14"/>
      <c r="D68" s="14" t="s">
        <v>278</v>
      </c>
      <c r="E68" s="14" t="s">
        <v>242</v>
      </c>
      <c r="F68" s="14" t="s">
        <v>39</v>
      </c>
      <c r="G68" s="14" t="s">
        <v>39</v>
      </c>
      <c r="H68" s="14"/>
      <c r="I68" s="14" t="s">
        <v>45</v>
      </c>
      <c r="J68" s="14">
        <v>0</v>
      </c>
      <c r="K68" s="13">
        <v>25846.26</v>
      </c>
      <c r="L68" s="13">
        <v>0</v>
      </c>
      <c r="M68" s="13">
        <v>0</v>
      </c>
      <c r="N68" s="13">
        <v>0</v>
      </c>
      <c r="O68" s="76">
        <v>25846.26</v>
      </c>
      <c r="P68" s="81" t="s">
        <v>272</v>
      </c>
      <c r="Q68" s="123">
        <v>68</v>
      </c>
      <c r="R68" s="13"/>
      <c r="S68" s="13"/>
      <c r="T68" s="13">
        <f>LISTA[[#This Row],[VALOR FINAL]]+LISTA[[#This Row],[TARIFA IN]]+LISTA[[#This Row],[TARIFA OUT ]]</f>
        <v>25846.26</v>
      </c>
    </row>
    <row r="69" spans="1:20" x14ac:dyDescent="0.2">
      <c r="A69" s="201" t="s">
        <v>15</v>
      </c>
      <c r="B69" s="190">
        <v>44875</v>
      </c>
      <c r="C69" s="14"/>
      <c r="D69" s="14" t="s">
        <v>278</v>
      </c>
      <c r="E69" s="14" t="s">
        <v>242</v>
      </c>
      <c r="F69" s="14" t="s">
        <v>39</v>
      </c>
      <c r="G69" s="14" t="s">
        <v>39</v>
      </c>
      <c r="H69" s="14"/>
      <c r="I69" s="14" t="s">
        <v>45</v>
      </c>
      <c r="J69" s="14">
        <v>0</v>
      </c>
      <c r="K69" s="13">
        <v>25846.26</v>
      </c>
      <c r="L69" s="13">
        <v>0</v>
      </c>
      <c r="M69" s="13">
        <v>0</v>
      </c>
      <c r="N69" s="13">
        <v>0</v>
      </c>
      <c r="O69" s="76">
        <v>25846.26</v>
      </c>
      <c r="P69" s="81" t="s">
        <v>272</v>
      </c>
      <c r="Q69" s="123">
        <v>69</v>
      </c>
      <c r="R69" s="13"/>
      <c r="S69" s="13"/>
      <c r="T69" s="13">
        <f>LISTA[[#This Row],[VALOR FINAL]]+LISTA[[#This Row],[TARIFA IN]]+LISTA[[#This Row],[TARIFA OUT ]]</f>
        <v>25846.26</v>
      </c>
    </row>
    <row r="70" spans="1:20" x14ac:dyDescent="0.2">
      <c r="A70" s="201" t="s">
        <v>15</v>
      </c>
      <c r="B70" s="190">
        <v>44876</v>
      </c>
      <c r="C70" s="14"/>
      <c r="D70" s="14" t="s">
        <v>278</v>
      </c>
      <c r="E70" s="14" t="s">
        <v>242</v>
      </c>
      <c r="F70" s="14" t="s">
        <v>39</v>
      </c>
      <c r="G70" s="14" t="s">
        <v>39</v>
      </c>
      <c r="H70" s="14"/>
      <c r="I70" s="14" t="s">
        <v>45</v>
      </c>
      <c r="J70" s="14">
        <v>0</v>
      </c>
      <c r="K70" s="13">
        <v>25846.26</v>
      </c>
      <c r="L70" s="13">
        <v>0</v>
      </c>
      <c r="M70" s="13">
        <v>0</v>
      </c>
      <c r="N70" s="13">
        <v>0</v>
      </c>
      <c r="O70" s="76">
        <v>25846.26</v>
      </c>
      <c r="P70" s="81" t="s">
        <v>272</v>
      </c>
      <c r="Q70" s="123">
        <v>70</v>
      </c>
      <c r="R70" s="13"/>
      <c r="S70" s="13"/>
      <c r="T70" s="13">
        <f>LISTA[[#This Row],[VALOR FINAL]]+LISTA[[#This Row],[TARIFA IN]]+LISTA[[#This Row],[TARIFA OUT ]]</f>
        <v>25846.26</v>
      </c>
    </row>
    <row r="71" spans="1:20" x14ac:dyDescent="0.2">
      <c r="A71" s="201" t="s">
        <v>15</v>
      </c>
      <c r="B71" s="190">
        <v>44877</v>
      </c>
      <c r="C71" s="14"/>
      <c r="D71" s="14" t="s">
        <v>278</v>
      </c>
      <c r="E71" s="14" t="s">
        <v>242</v>
      </c>
      <c r="F71" s="14" t="s">
        <v>39</v>
      </c>
      <c r="G71" s="14" t="s">
        <v>39</v>
      </c>
      <c r="H71" s="14"/>
      <c r="I71" s="14" t="s">
        <v>45</v>
      </c>
      <c r="J71" s="14">
        <v>0</v>
      </c>
      <c r="K71" s="13">
        <v>25846.26</v>
      </c>
      <c r="L71" s="13">
        <v>0</v>
      </c>
      <c r="M71" s="13">
        <v>0</v>
      </c>
      <c r="N71" s="13">
        <v>0</v>
      </c>
      <c r="O71" s="76">
        <v>25846.26</v>
      </c>
      <c r="P71" s="81" t="s">
        <v>272</v>
      </c>
      <c r="Q71" s="123">
        <v>71</v>
      </c>
      <c r="R71" s="13"/>
      <c r="S71" s="13"/>
      <c r="T71" s="13">
        <f>LISTA[[#This Row],[VALOR FINAL]]+LISTA[[#This Row],[TARIFA IN]]+LISTA[[#This Row],[TARIFA OUT ]]</f>
        <v>25846.26</v>
      </c>
    </row>
    <row r="72" spans="1:20" x14ac:dyDescent="0.2">
      <c r="A72" s="201" t="s">
        <v>15</v>
      </c>
      <c r="B72" s="190">
        <v>44878</v>
      </c>
      <c r="C72" s="14"/>
      <c r="D72" s="14" t="s">
        <v>278</v>
      </c>
      <c r="E72" s="14" t="s">
        <v>242</v>
      </c>
      <c r="F72" s="14" t="s">
        <v>39</v>
      </c>
      <c r="G72" s="14" t="s">
        <v>39</v>
      </c>
      <c r="H72" s="14"/>
      <c r="I72" s="14" t="s">
        <v>45</v>
      </c>
      <c r="J72" s="14">
        <v>0</v>
      </c>
      <c r="K72" s="13">
        <v>25846.26</v>
      </c>
      <c r="L72" s="13">
        <v>0</v>
      </c>
      <c r="M72" s="13">
        <v>0</v>
      </c>
      <c r="N72" s="13">
        <v>0</v>
      </c>
      <c r="O72" s="76">
        <v>25846.26</v>
      </c>
      <c r="P72" s="81" t="s">
        <v>272</v>
      </c>
      <c r="Q72" s="123">
        <v>72</v>
      </c>
      <c r="R72" s="13"/>
      <c r="S72" s="13"/>
      <c r="T72" s="13">
        <f>LISTA[[#This Row],[VALOR FINAL]]+LISTA[[#This Row],[TARIFA IN]]+LISTA[[#This Row],[TARIFA OUT ]]</f>
        <v>25846.26</v>
      </c>
    </row>
    <row r="73" spans="1:20" x14ac:dyDescent="0.2">
      <c r="A73" s="201" t="s">
        <v>15</v>
      </c>
      <c r="B73" s="190">
        <v>44879</v>
      </c>
      <c r="C73" s="14" t="s">
        <v>48</v>
      </c>
      <c r="D73" s="14" t="s">
        <v>278</v>
      </c>
      <c r="E73" s="14" t="s">
        <v>281</v>
      </c>
      <c r="F73" s="14" t="s">
        <v>39</v>
      </c>
      <c r="G73" s="14" t="s">
        <v>39</v>
      </c>
      <c r="H73" s="14"/>
      <c r="I73" s="14" t="s">
        <v>282</v>
      </c>
      <c r="J73" s="14">
        <v>0</v>
      </c>
      <c r="K73" s="13">
        <v>85456</v>
      </c>
      <c r="L73" s="13">
        <v>0</v>
      </c>
      <c r="M73" s="13">
        <v>0</v>
      </c>
      <c r="N73" s="13">
        <v>0</v>
      </c>
      <c r="O73" s="76">
        <v>85456</v>
      </c>
      <c r="P73" s="81" t="s">
        <v>272</v>
      </c>
      <c r="Q73" s="123">
        <v>73</v>
      </c>
      <c r="R73" s="13"/>
      <c r="S73" s="13"/>
      <c r="T73" s="13">
        <f>LISTA[[#This Row],[VALOR FINAL]]+LISTA[[#This Row],[TARIFA IN]]+LISTA[[#This Row],[TARIFA OUT ]]</f>
        <v>85456</v>
      </c>
    </row>
    <row r="74" spans="1:20" x14ac:dyDescent="0.2">
      <c r="A74" s="201" t="s">
        <v>15</v>
      </c>
      <c r="B74" s="190">
        <v>44861</v>
      </c>
      <c r="C74" s="14" t="s">
        <v>77</v>
      </c>
      <c r="D74" s="14" t="s">
        <v>286</v>
      </c>
      <c r="E74" s="14" t="s">
        <v>284</v>
      </c>
      <c r="F74" s="14" t="s">
        <v>39</v>
      </c>
      <c r="G74" s="14" t="s">
        <v>39</v>
      </c>
      <c r="H74" s="14"/>
      <c r="I74" s="14" t="s">
        <v>285</v>
      </c>
      <c r="J74" s="14">
        <v>19930</v>
      </c>
      <c r="K74" s="13">
        <v>43077.1</v>
      </c>
      <c r="L74" s="13">
        <v>0</v>
      </c>
      <c r="M74" s="13">
        <v>0</v>
      </c>
      <c r="N74" s="13">
        <v>0</v>
      </c>
      <c r="O74" s="13">
        <v>43077.1</v>
      </c>
      <c r="P74" s="81" t="s">
        <v>272</v>
      </c>
      <c r="Q74" s="123">
        <v>74</v>
      </c>
      <c r="R74" s="13"/>
      <c r="S74" s="13"/>
      <c r="T74" s="13">
        <f>LISTA[[#This Row],[VALOR FINAL]]+LISTA[[#This Row],[TARIFA IN]]+LISTA[[#This Row],[TARIFA OUT ]]</f>
        <v>43077.1</v>
      </c>
    </row>
    <row r="75" spans="1:20" x14ac:dyDescent="0.2">
      <c r="A75" s="201" t="s">
        <v>15</v>
      </c>
      <c r="B75" s="190">
        <v>44862</v>
      </c>
      <c r="C75" s="14"/>
      <c r="D75" s="14" t="s">
        <v>286</v>
      </c>
      <c r="E75" s="14" t="s">
        <v>242</v>
      </c>
      <c r="F75" s="14" t="s">
        <v>39</v>
      </c>
      <c r="G75" s="14" t="s">
        <v>39</v>
      </c>
      <c r="H75" s="14"/>
      <c r="I75" s="14" t="s">
        <v>45</v>
      </c>
      <c r="J75" s="14">
        <v>0</v>
      </c>
      <c r="K75" s="13">
        <v>25846.26</v>
      </c>
      <c r="L75" s="13">
        <v>0</v>
      </c>
      <c r="M75" s="13">
        <v>0</v>
      </c>
      <c r="N75" s="13">
        <v>0</v>
      </c>
      <c r="O75" s="76">
        <v>25846.26</v>
      </c>
      <c r="P75" s="81" t="s">
        <v>272</v>
      </c>
      <c r="Q75" s="123">
        <v>75</v>
      </c>
      <c r="R75" s="13"/>
      <c r="S75" s="13"/>
      <c r="T75" s="13">
        <f>LISTA[[#This Row],[VALOR FINAL]]+LISTA[[#This Row],[TARIFA IN]]+LISTA[[#This Row],[TARIFA OUT ]]</f>
        <v>25846.26</v>
      </c>
    </row>
    <row r="76" spans="1:20" x14ac:dyDescent="0.2">
      <c r="A76" s="201" t="s">
        <v>15</v>
      </c>
      <c r="B76" s="190">
        <v>44863</v>
      </c>
      <c r="C76" s="14"/>
      <c r="D76" s="14" t="s">
        <v>286</v>
      </c>
      <c r="E76" s="14" t="s">
        <v>242</v>
      </c>
      <c r="F76" s="14" t="s">
        <v>39</v>
      </c>
      <c r="G76" s="14" t="s">
        <v>39</v>
      </c>
      <c r="H76" s="14"/>
      <c r="I76" s="14" t="s">
        <v>45</v>
      </c>
      <c r="J76" s="14">
        <v>0</v>
      </c>
      <c r="K76" s="13">
        <v>25846.26</v>
      </c>
      <c r="L76" s="13">
        <v>0</v>
      </c>
      <c r="M76" s="13">
        <v>0</v>
      </c>
      <c r="N76" s="13">
        <v>0</v>
      </c>
      <c r="O76" s="13">
        <v>25846.26</v>
      </c>
      <c r="P76" s="81" t="s">
        <v>272</v>
      </c>
      <c r="Q76" s="123">
        <v>76</v>
      </c>
      <c r="R76" s="13"/>
      <c r="S76" s="13"/>
      <c r="T76" s="13">
        <f>LISTA[[#This Row],[VALOR FINAL]]+LISTA[[#This Row],[TARIFA IN]]+LISTA[[#This Row],[TARIFA OUT ]]</f>
        <v>25846.26</v>
      </c>
    </row>
    <row r="77" spans="1:20" x14ac:dyDescent="0.2">
      <c r="A77" s="201" t="s">
        <v>15</v>
      </c>
      <c r="B77" s="190">
        <v>44864</v>
      </c>
      <c r="C77" s="14"/>
      <c r="D77" s="14" t="s">
        <v>286</v>
      </c>
      <c r="E77" s="14" t="s">
        <v>242</v>
      </c>
      <c r="F77" s="14" t="s">
        <v>39</v>
      </c>
      <c r="G77" s="14" t="s">
        <v>39</v>
      </c>
      <c r="H77" s="14"/>
      <c r="I77" s="14" t="s">
        <v>45</v>
      </c>
      <c r="J77" s="14">
        <v>0</v>
      </c>
      <c r="K77" s="13">
        <v>25846.26</v>
      </c>
      <c r="L77" s="13">
        <v>0</v>
      </c>
      <c r="M77" s="13">
        <v>0</v>
      </c>
      <c r="N77" s="13">
        <v>0</v>
      </c>
      <c r="O77" s="76">
        <v>25846.26</v>
      </c>
      <c r="P77" s="81" t="s">
        <v>272</v>
      </c>
      <c r="Q77" s="123">
        <v>77</v>
      </c>
      <c r="R77" s="13"/>
      <c r="S77" s="13"/>
      <c r="T77" s="13">
        <f>LISTA[[#This Row],[VALOR FINAL]]+LISTA[[#This Row],[TARIFA IN]]+LISTA[[#This Row],[TARIFA OUT ]]</f>
        <v>25846.26</v>
      </c>
    </row>
    <row r="78" spans="1:20" x14ac:dyDescent="0.2">
      <c r="A78" s="201" t="s">
        <v>15</v>
      </c>
      <c r="B78" s="190">
        <v>44865</v>
      </c>
      <c r="C78" s="14"/>
      <c r="D78" s="14" t="s">
        <v>286</v>
      </c>
      <c r="E78" s="14" t="s">
        <v>242</v>
      </c>
      <c r="F78" s="14" t="s">
        <v>39</v>
      </c>
      <c r="G78" s="14" t="s">
        <v>39</v>
      </c>
      <c r="H78" s="14"/>
      <c r="I78" s="14" t="s">
        <v>45</v>
      </c>
      <c r="J78" s="14">
        <v>0</v>
      </c>
      <c r="K78" s="13">
        <v>25846.26</v>
      </c>
      <c r="L78" s="13">
        <v>0</v>
      </c>
      <c r="M78" s="13">
        <v>0</v>
      </c>
      <c r="N78" s="13">
        <v>0</v>
      </c>
      <c r="O78" s="13">
        <v>25846.26</v>
      </c>
      <c r="P78" s="81" t="s">
        <v>272</v>
      </c>
      <c r="Q78" s="123">
        <v>78</v>
      </c>
      <c r="R78" s="13"/>
      <c r="S78" s="13"/>
      <c r="T78" s="13">
        <f>LISTA[[#This Row],[VALOR FINAL]]+LISTA[[#This Row],[TARIFA IN]]+LISTA[[#This Row],[TARIFA OUT ]]</f>
        <v>25846.26</v>
      </c>
    </row>
    <row r="79" spans="1:20" x14ac:dyDescent="0.2">
      <c r="A79" s="201" t="s">
        <v>15</v>
      </c>
      <c r="B79" s="190">
        <v>44866</v>
      </c>
      <c r="C79" s="14"/>
      <c r="D79" s="14" t="s">
        <v>286</v>
      </c>
      <c r="E79" s="14" t="s">
        <v>242</v>
      </c>
      <c r="F79" s="14" t="s">
        <v>39</v>
      </c>
      <c r="G79" s="14" t="s">
        <v>39</v>
      </c>
      <c r="H79" s="14"/>
      <c r="I79" s="14" t="s">
        <v>45</v>
      </c>
      <c r="J79" s="14">
        <v>0</v>
      </c>
      <c r="K79" s="13">
        <v>25846.26</v>
      </c>
      <c r="L79" s="13">
        <v>0</v>
      </c>
      <c r="M79" s="13">
        <v>0</v>
      </c>
      <c r="N79" s="13">
        <v>0</v>
      </c>
      <c r="O79" s="76">
        <v>25846.26</v>
      </c>
      <c r="P79" s="81" t="s">
        <v>272</v>
      </c>
      <c r="Q79" s="123">
        <v>79</v>
      </c>
      <c r="R79" s="13"/>
      <c r="S79" s="13"/>
      <c r="T79" s="13">
        <f>LISTA[[#This Row],[VALOR FINAL]]+LISTA[[#This Row],[TARIFA IN]]+LISTA[[#This Row],[TARIFA OUT ]]</f>
        <v>25846.26</v>
      </c>
    </row>
    <row r="80" spans="1:20" x14ac:dyDescent="0.2">
      <c r="A80" s="201" t="s">
        <v>15</v>
      </c>
      <c r="B80" s="190">
        <v>44867</v>
      </c>
      <c r="C80" s="14"/>
      <c r="D80" s="14" t="s">
        <v>286</v>
      </c>
      <c r="E80" s="14" t="s">
        <v>242</v>
      </c>
      <c r="F80" s="14" t="s">
        <v>39</v>
      </c>
      <c r="G80" s="14" t="s">
        <v>39</v>
      </c>
      <c r="H80" s="14"/>
      <c r="I80" s="14" t="s">
        <v>45</v>
      </c>
      <c r="J80" s="14">
        <v>0</v>
      </c>
      <c r="K80" s="13">
        <v>25846.26</v>
      </c>
      <c r="L80" s="13">
        <v>0</v>
      </c>
      <c r="M80" s="13">
        <v>0</v>
      </c>
      <c r="N80" s="13">
        <v>0</v>
      </c>
      <c r="O80" s="13">
        <v>25846.26</v>
      </c>
      <c r="P80" s="81" t="s">
        <v>272</v>
      </c>
      <c r="Q80" s="123">
        <v>80</v>
      </c>
      <c r="R80" s="13"/>
      <c r="S80" s="13"/>
      <c r="T80" s="13">
        <f>LISTA[[#This Row],[VALOR FINAL]]+LISTA[[#This Row],[TARIFA IN]]+LISTA[[#This Row],[TARIFA OUT ]]</f>
        <v>25846.26</v>
      </c>
    </row>
    <row r="81" spans="1:20" x14ac:dyDescent="0.2">
      <c r="A81" s="201" t="s">
        <v>15</v>
      </c>
      <c r="B81" s="190">
        <v>44868</v>
      </c>
      <c r="C81" s="14"/>
      <c r="D81" s="14" t="s">
        <v>286</v>
      </c>
      <c r="E81" s="14" t="s">
        <v>242</v>
      </c>
      <c r="F81" s="14" t="s">
        <v>39</v>
      </c>
      <c r="G81" s="14" t="s">
        <v>39</v>
      </c>
      <c r="H81" s="14"/>
      <c r="I81" s="14" t="s">
        <v>45</v>
      </c>
      <c r="J81" s="14">
        <v>0</v>
      </c>
      <c r="K81" s="13">
        <v>25846.26</v>
      </c>
      <c r="L81" s="13">
        <v>0</v>
      </c>
      <c r="M81" s="13">
        <v>0</v>
      </c>
      <c r="N81" s="13">
        <v>0</v>
      </c>
      <c r="O81" s="76">
        <v>25846.26</v>
      </c>
      <c r="P81" s="81" t="s">
        <v>272</v>
      </c>
      <c r="Q81" s="123">
        <v>81</v>
      </c>
      <c r="R81" s="13"/>
      <c r="S81" s="13"/>
      <c r="T81" s="13">
        <f>LISTA[[#This Row],[VALOR FINAL]]+LISTA[[#This Row],[TARIFA IN]]+LISTA[[#This Row],[TARIFA OUT ]]</f>
        <v>25846.26</v>
      </c>
    </row>
    <row r="82" spans="1:20" x14ac:dyDescent="0.2">
      <c r="A82" s="201" t="s">
        <v>15</v>
      </c>
      <c r="B82" s="190">
        <v>44869</v>
      </c>
      <c r="C82" s="14"/>
      <c r="D82" s="14" t="s">
        <v>286</v>
      </c>
      <c r="E82" s="14" t="s">
        <v>242</v>
      </c>
      <c r="F82" s="14" t="s">
        <v>39</v>
      </c>
      <c r="G82" s="14" t="s">
        <v>39</v>
      </c>
      <c r="H82" s="14"/>
      <c r="I82" s="14" t="s">
        <v>45</v>
      </c>
      <c r="J82" s="14">
        <v>0</v>
      </c>
      <c r="K82" s="13">
        <v>25846.26</v>
      </c>
      <c r="L82" s="13">
        <v>0</v>
      </c>
      <c r="M82" s="13">
        <v>0</v>
      </c>
      <c r="N82" s="13">
        <v>0</v>
      </c>
      <c r="O82" s="76">
        <v>25846.26</v>
      </c>
      <c r="P82" s="81" t="s">
        <v>272</v>
      </c>
      <c r="Q82" s="123">
        <v>82</v>
      </c>
      <c r="R82" s="13"/>
      <c r="S82" s="13"/>
      <c r="T82" s="13">
        <f>LISTA[[#This Row],[VALOR FINAL]]+LISTA[[#This Row],[TARIFA IN]]+LISTA[[#This Row],[TARIFA OUT ]]</f>
        <v>25846.26</v>
      </c>
    </row>
    <row r="83" spans="1:20" x14ac:dyDescent="0.2">
      <c r="A83" s="201" t="s">
        <v>15</v>
      </c>
      <c r="B83" s="190">
        <v>44870</v>
      </c>
      <c r="C83" s="14"/>
      <c r="D83" s="14" t="s">
        <v>286</v>
      </c>
      <c r="E83" s="14" t="s">
        <v>242</v>
      </c>
      <c r="F83" s="14" t="s">
        <v>39</v>
      </c>
      <c r="G83" s="14" t="s">
        <v>39</v>
      </c>
      <c r="H83" s="14"/>
      <c r="I83" s="14" t="s">
        <v>45</v>
      </c>
      <c r="J83" s="14">
        <v>0</v>
      </c>
      <c r="K83" s="13">
        <v>25846.26</v>
      </c>
      <c r="L83" s="13">
        <v>0</v>
      </c>
      <c r="M83" s="13">
        <v>0</v>
      </c>
      <c r="N83" s="13">
        <v>0</v>
      </c>
      <c r="O83" s="76">
        <v>25846.26</v>
      </c>
      <c r="P83" s="81" t="s">
        <v>272</v>
      </c>
      <c r="Q83" s="123">
        <v>83</v>
      </c>
      <c r="R83" s="13"/>
      <c r="S83" s="13"/>
      <c r="T83" s="13">
        <f>LISTA[[#This Row],[VALOR FINAL]]+LISTA[[#This Row],[TARIFA IN]]+LISTA[[#This Row],[TARIFA OUT ]]</f>
        <v>25846.26</v>
      </c>
    </row>
    <row r="84" spans="1:20" x14ac:dyDescent="0.2">
      <c r="A84" s="201" t="s">
        <v>15</v>
      </c>
      <c r="B84" s="190">
        <v>44871</v>
      </c>
      <c r="C84" s="14"/>
      <c r="D84" s="14" t="s">
        <v>286</v>
      </c>
      <c r="E84" s="14" t="s">
        <v>242</v>
      </c>
      <c r="F84" s="14" t="s">
        <v>39</v>
      </c>
      <c r="G84" s="14" t="s">
        <v>39</v>
      </c>
      <c r="H84" s="14"/>
      <c r="I84" s="14" t="s">
        <v>45</v>
      </c>
      <c r="J84" s="14">
        <v>0</v>
      </c>
      <c r="K84" s="13">
        <v>25846.26</v>
      </c>
      <c r="L84" s="13">
        <v>0</v>
      </c>
      <c r="M84" s="13">
        <v>0</v>
      </c>
      <c r="N84" s="13">
        <v>0</v>
      </c>
      <c r="O84" s="76">
        <v>25846.26</v>
      </c>
      <c r="P84" s="81" t="s">
        <v>272</v>
      </c>
      <c r="Q84" s="123">
        <v>84</v>
      </c>
      <c r="R84" s="13"/>
      <c r="S84" s="13"/>
      <c r="T84" s="13">
        <f>LISTA[[#This Row],[VALOR FINAL]]+LISTA[[#This Row],[TARIFA IN]]+LISTA[[#This Row],[TARIFA OUT ]]</f>
        <v>25846.26</v>
      </c>
    </row>
    <row r="85" spans="1:20" x14ac:dyDescent="0.2">
      <c r="A85" s="201" t="s">
        <v>15</v>
      </c>
      <c r="B85" s="190">
        <v>44872</v>
      </c>
      <c r="C85" s="14"/>
      <c r="D85" s="14" t="s">
        <v>286</v>
      </c>
      <c r="E85" s="14" t="s">
        <v>242</v>
      </c>
      <c r="F85" s="14" t="s">
        <v>39</v>
      </c>
      <c r="G85" s="14" t="s">
        <v>39</v>
      </c>
      <c r="H85" s="14"/>
      <c r="I85" s="14" t="s">
        <v>45</v>
      </c>
      <c r="J85" s="14">
        <v>0</v>
      </c>
      <c r="K85" s="13">
        <v>25846.26</v>
      </c>
      <c r="L85" s="13">
        <v>0</v>
      </c>
      <c r="M85" s="13">
        <v>0</v>
      </c>
      <c r="N85" s="13">
        <v>0</v>
      </c>
      <c r="O85" s="76">
        <v>25846.26</v>
      </c>
      <c r="P85" s="81" t="s">
        <v>272</v>
      </c>
      <c r="Q85" s="123">
        <v>85</v>
      </c>
      <c r="R85" s="13"/>
      <c r="S85" s="13"/>
      <c r="T85" s="13">
        <f>LISTA[[#This Row],[VALOR FINAL]]+LISTA[[#This Row],[TARIFA IN]]+LISTA[[#This Row],[TARIFA OUT ]]</f>
        <v>25846.26</v>
      </c>
    </row>
    <row r="86" spans="1:20" x14ac:dyDescent="0.2">
      <c r="A86" s="201" t="s">
        <v>15</v>
      </c>
      <c r="B86" s="190">
        <v>44873</v>
      </c>
      <c r="C86" s="14"/>
      <c r="D86" s="14" t="s">
        <v>286</v>
      </c>
      <c r="E86" s="14" t="s">
        <v>242</v>
      </c>
      <c r="F86" s="14" t="s">
        <v>39</v>
      </c>
      <c r="G86" s="14" t="s">
        <v>39</v>
      </c>
      <c r="H86" s="14"/>
      <c r="I86" s="14" t="s">
        <v>45</v>
      </c>
      <c r="J86" s="14">
        <v>0</v>
      </c>
      <c r="K86" s="13">
        <v>25846.26</v>
      </c>
      <c r="L86" s="13">
        <v>0</v>
      </c>
      <c r="M86" s="13">
        <v>0</v>
      </c>
      <c r="N86" s="13">
        <v>0</v>
      </c>
      <c r="O86" s="76">
        <v>25846.26</v>
      </c>
      <c r="P86" s="81" t="s">
        <v>272</v>
      </c>
      <c r="Q86" s="123">
        <v>86</v>
      </c>
      <c r="R86" s="13"/>
      <c r="S86" s="13"/>
      <c r="T86" s="13">
        <f>LISTA[[#This Row],[VALOR FINAL]]+LISTA[[#This Row],[TARIFA IN]]+LISTA[[#This Row],[TARIFA OUT ]]</f>
        <v>25846.26</v>
      </c>
    </row>
    <row r="87" spans="1:20" x14ac:dyDescent="0.2">
      <c r="A87" s="201" t="s">
        <v>15</v>
      </c>
      <c r="B87" s="190">
        <v>44874</v>
      </c>
      <c r="C87" s="14" t="s">
        <v>42</v>
      </c>
      <c r="D87" s="14" t="s">
        <v>286</v>
      </c>
      <c r="E87" s="14" t="s">
        <v>287</v>
      </c>
      <c r="F87" s="14" t="s">
        <v>39</v>
      </c>
      <c r="G87" s="14" t="s">
        <v>39</v>
      </c>
      <c r="H87" s="14"/>
      <c r="I87" s="14" t="s">
        <v>202</v>
      </c>
      <c r="J87" s="14">
        <v>0</v>
      </c>
      <c r="K87" s="13">
        <v>43077.1</v>
      </c>
      <c r="L87" s="13">
        <v>0</v>
      </c>
      <c r="M87" s="13">
        <v>0</v>
      </c>
      <c r="N87" s="13">
        <v>0</v>
      </c>
      <c r="O87" s="76">
        <v>43077.1</v>
      </c>
      <c r="P87" s="81" t="s">
        <v>272</v>
      </c>
      <c r="Q87" s="123">
        <v>87</v>
      </c>
      <c r="R87" s="13"/>
      <c r="S87" s="13"/>
      <c r="T87" s="13">
        <f>LISTA[[#This Row],[VALOR FINAL]]+LISTA[[#This Row],[TARIFA IN]]+LISTA[[#This Row],[TARIFA OUT ]]</f>
        <v>43077.1</v>
      </c>
    </row>
    <row r="88" spans="1:20" x14ac:dyDescent="0.2">
      <c r="A88" s="201" t="s">
        <v>15</v>
      </c>
      <c r="B88" s="190">
        <v>44875</v>
      </c>
      <c r="C88" s="14"/>
      <c r="D88" s="14" t="s">
        <v>286</v>
      </c>
      <c r="E88" s="14" t="s">
        <v>242</v>
      </c>
      <c r="F88" s="14" t="s">
        <v>39</v>
      </c>
      <c r="G88" s="14" t="s">
        <v>39</v>
      </c>
      <c r="H88" s="14"/>
      <c r="I88" s="14" t="s">
        <v>45</v>
      </c>
      <c r="J88" s="14">
        <v>0</v>
      </c>
      <c r="K88" s="13">
        <v>25846.26</v>
      </c>
      <c r="L88" s="13">
        <v>0</v>
      </c>
      <c r="M88" s="13">
        <v>0</v>
      </c>
      <c r="N88" s="13">
        <v>0</v>
      </c>
      <c r="O88" s="76">
        <v>25846.26</v>
      </c>
      <c r="P88" s="81" t="s">
        <v>272</v>
      </c>
      <c r="Q88" s="123">
        <v>88</v>
      </c>
      <c r="R88" s="13"/>
      <c r="S88" s="13"/>
      <c r="T88" s="13">
        <f>LISTA[[#This Row],[VALOR FINAL]]+LISTA[[#This Row],[TARIFA IN]]+LISTA[[#This Row],[TARIFA OUT ]]</f>
        <v>25846.26</v>
      </c>
    </row>
    <row r="89" spans="1:20" x14ac:dyDescent="0.2">
      <c r="A89" s="201" t="s">
        <v>15</v>
      </c>
      <c r="B89" s="190">
        <v>44876</v>
      </c>
      <c r="C89" s="14"/>
      <c r="D89" s="14" t="s">
        <v>286</v>
      </c>
      <c r="E89" s="14" t="s">
        <v>242</v>
      </c>
      <c r="F89" s="14" t="s">
        <v>39</v>
      </c>
      <c r="G89" s="14" t="s">
        <v>39</v>
      </c>
      <c r="H89" s="14"/>
      <c r="I89" s="14" t="s">
        <v>45</v>
      </c>
      <c r="J89" s="14">
        <v>0</v>
      </c>
      <c r="K89" s="13">
        <v>25846.26</v>
      </c>
      <c r="L89" s="13">
        <v>0</v>
      </c>
      <c r="M89" s="13">
        <v>0</v>
      </c>
      <c r="N89" s="13">
        <v>0</v>
      </c>
      <c r="O89" s="76">
        <v>25846.26</v>
      </c>
      <c r="P89" s="81" t="s">
        <v>272</v>
      </c>
      <c r="Q89" s="123">
        <v>89</v>
      </c>
      <c r="R89" s="13"/>
      <c r="S89" s="13"/>
      <c r="T89" s="13">
        <f>LISTA[[#This Row],[VALOR FINAL]]+LISTA[[#This Row],[TARIFA IN]]+LISTA[[#This Row],[TARIFA OUT ]]</f>
        <v>25846.26</v>
      </c>
    </row>
    <row r="90" spans="1:20" x14ac:dyDescent="0.2">
      <c r="A90" s="201" t="s">
        <v>15</v>
      </c>
      <c r="B90" s="190">
        <v>44877</v>
      </c>
      <c r="C90" s="14"/>
      <c r="D90" s="14" t="s">
        <v>286</v>
      </c>
      <c r="E90" s="14" t="s">
        <v>242</v>
      </c>
      <c r="F90" s="14" t="s">
        <v>39</v>
      </c>
      <c r="G90" s="14" t="s">
        <v>39</v>
      </c>
      <c r="H90" s="14"/>
      <c r="I90" s="14" t="s">
        <v>45</v>
      </c>
      <c r="J90" s="14">
        <v>0</v>
      </c>
      <c r="K90" s="13">
        <v>25846.26</v>
      </c>
      <c r="L90" s="13">
        <v>0</v>
      </c>
      <c r="M90" s="13">
        <v>0</v>
      </c>
      <c r="N90" s="13">
        <v>0</v>
      </c>
      <c r="O90" s="76">
        <v>25846.26</v>
      </c>
      <c r="P90" s="81" t="s">
        <v>272</v>
      </c>
      <c r="Q90" s="123">
        <v>90</v>
      </c>
      <c r="R90" s="13"/>
      <c r="S90" s="13"/>
      <c r="T90" s="13">
        <f>LISTA[[#This Row],[VALOR FINAL]]+LISTA[[#This Row],[TARIFA IN]]+LISTA[[#This Row],[TARIFA OUT ]]</f>
        <v>25846.26</v>
      </c>
    </row>
    <row r="91" spans="1:20" x14ac:dyDescent="0.2">
      <c r="A91" s="201" t="s">
        <v>15</v>
      </c>
      <c r="B91" s="190">
        <v>44878</v>
      </c>
      <c r="C91" s="14"/>
      <c r="D91" s="14" t="s">
        <v>286</v>
      </c>
      <c r="E91" s="14" t="s">
        <v>242</v>
      </c>
      <c r="F91" s="14" t="s">
        <v>39</v>
      </c>
      <c r="G91" s="14" t="s">
        <v>39</v>
      </c>
      <c r="H91" s="14"/>
      <c r="I91" s="14" t="s">
        <v>45</v>
      </c>
      <c r="J91" s="14">
        <v>0</v>
      </c>
      <c r="K91" s="13">
        <v>25846.26</v>
      </c>
      <c r="L91" s="13">
        <v>0</v>
      </c>
      <c r="M91" s="13">
        <v>0</v>
      </c>
      <c r="N91" s="13">
        <v>0</v>
      </c>
      <c r="O91" s="76">
        <v>25846.26</v>
      </c>
      <c r="P91" s="81" t="s">
        <v>272</v>
      </c>
      <c r="Q91" s="123">
        <v>91</v>
      </c>
      <c r="R91" s="13"/>
      <c r="S91" s="13"/>
      <c r="T91" s="13">
        <f>LISTA[[#This Row],[VALOR FINAL]]+LISTA[[#This Row],[TARIFA IN]]+LISTA[[#This Row],[TARIFA OUT ]]</f>
        <v>25846.26</v>
      </c>
    </row>
    <row r="92" spans="1:20" x14ac:dyDescent="0.2">
      <c r="A92" s="201" t="s">
        <v>15</v>
      </c>
      <c r="B92" s="190">
        <v>44879</v>
      </c>
      <c r="C92" s="14" t="s">
        <v>77</v>
      </c>
      <c r="D92" s="14" t="s">
        <v>286</v>
      </c>
      <c r="E92" s="14" t="s">
        <v>288</v>
      </c>
      <c r="F92" s="14" t="s">
        <v>39</v>
      </c>
      <c r="G92" s="14" t="s">
        <v>39</v>
      </c>
      <c r="H92" s="14"/>
      <c r="I92" s="14" t="s">
        <v>282</v>
      </c>
      <c r="J92" s="14">
        <v>0</v>
      </c>
      <c r="K92" s="13">
        <v>85456</v>
      </c>
      <c r="L92" s="13">
        <v>0</v>
      </c>
      <c r="M92" s="13">
        <v>0</v>
      </c>
      <c r="N92" s="13">
        <v>0</v>
      </c>
      <c r="O92" s="76">
        <v>85456</v>
      </c>
      <c r="P92" s="81" t="s">
        <v>272</v>
      </c>
      <c r="Q92" s="123">
        <v>92</v>
      </c>
      <c r="R92" s="13"/>
      <c r="S92" s="13"/>
      <c r="T92" s="13">
        <f>LISTA[[#This Row],[VALOR FINAL]]+LISTA[[#This Row],[TARIFA IN]]+LISTA[[#This Row],[TARIFA OUT ]]</f>
        <v>85456</v>
      </c>
    </row>
    <row r="93" spans="1:20" x14ac:dyDescent="0.2">
      <c r="A93" s="13" t="s">
        <v>14</v>
      </c>
      <c r="B93" s="203">
        <v>44876</v>
      </c>
      <c r="C93" s="202" t="s">
        <v>89</v>
      </c>
      <c r="D93" s="14" t="s">
        <v>265</v>
      </c>
      <c r="E93" s="14" t="s">
        <v>180</v>
      </c>
      <c r="F93" s="14" t="s">
        <v>181</v>
      </c>
      <c r="G93" s="14" t="s">
        <v>39</v>
      </c>
      <c r="H93" s="14"/>
      <c r="I93" s="14" t="s">
        <v>182</v>
      </c>
      <c r="J93" s="14">
        <v>4039.7</v>
      </c>
      <c r="K93" s="13">
        <v>0</v>
      </c>
      <c r="L93" s="13">
        <f>+LISTA[[#This Row],[KILOS]]*3.23</f>
        <v>13048.231</v>
      </c>
      <c r="M93" s="13">
        <v>0</v>
      </c>
      <c r="N93" s="13">
        <v>0</v>
      </c>
      <c r="O93" s="76">
        <f>+LISTA[[#This Row],[KILOS]]*3.23</f>
        <v>13048.231</v>
      </c>
      <c r="P93" s="81" t="s">
        <v>272</v>
      </c>
      <c r="Q93" s="123">
        <v>52</v>
      </c>
      <c r="R93" s="13">
        <v>0</v>
      </c>
      <c r="S93" s="13">
        <v>9982.5875037000005</v>
      </c>
      <c r="T93" s="13">
        <f>LISTA[[#This Row],[VALOR FINAL]]+LISTA[[#This Row],[TARIFA IN]]+LISTA[[#This Row],[TARIFA OUT ]]</f>
        <v>23030.8185037</v>
      </c>
    </row>
    <row r="94" spans="1:20" x14ac:dyDescent="0.2">
      <c r="A94" s="13" t="s">
        <v>14</v>
      </c>
      <c r="B94" s="203">
        <v>44879</v>
      </c>
      <c r="C94" s="202" t="s">
        <v>89</v>
      </c>
      <c r="D94" s="14" t="s">
        <v>322</v>
      </c>
      <c r="E94" s="14" t="s">
        <v>323</v>
      </c>
      <c r="F94" s="14" t="s">
        <v>123</v>
      </c>
      <c r="G94" s="14" t="s">
        <v>39</v>
      </c>
      <c r="H94" s="14"/>
      <c r="I94" s="14" t="s">
        <v>324</v>
      </c>
      <c r="J94" s="14">
        <v>3119.28</v>
      </c>
      <c r="K94" s="13">
        <v>0</v>
      </c>
      <c r="L94" s="13">
        <f>+LISTA[[#This Row],[KILOS]]*9.87</f>
        <v>30787.293600000001</v>
      </c>
      <c r="M94" s="13">
        <v>0</v>
      </c>
      <c r="N94" s="13">
        <v>0</v>
      </c>
      <c r="O94" s="76">
        <f>+LISTA[[#This Row],[KILOS]]*9.87</f>
        <v>30787.293600000001</v>
      </c>
      <c r="P94" s="81" t="s">
        <v>272</v>
      </c>
      <c r="Q94" s="123">
        <v>107</v>
      </c>
      <c r="R94" s="13">
        <v>0</v>
      </c>
      <c r="S94" s="13">
        <v>7708.1183128800012</v>
      </c>
      <c r="T94" s="13">
        <f>LISTA[[#This Row],[VALOR FINAL]]+LISTA[[#This Row],[TARIFA IN]]+LISTA[[#This Row],[TARIFA OUT ]]</f>
        <v>38495.411912880001</v>
      </c>
    </row>
    <row r="95" spans="1:20" x14ac:dyDescent="0.2">
      <c r="A95" s="13" t="s">
        <v>14</v>
      </c>
      <c r="B95" s="203">
        <v>44876</v>
      </c>
      <c r="C95" s="202" t="s">
        <v>38</v>
      </c>
      <c r="D95" s="14" t="s">
        <v>252</v>
      </c>
      <c r="E95" s="14" t="s">
        <v>174</v>
      </c>
      <c r="F95" s="14" t="s">
        <v>162</v>
      </c>
      <c r="G95" s="14" t="s">
        <v>97</v>
      </c>
      <c r="H95" s="14"/>
      <c r="I95" s="14" t="s">
        <v>253</v>
      </c>
      <c r="J95" s="14">
        <v>599</v>
      </c>
      <c r="K95" s="13">
        <v>0</v>
      </c>
      <c r="L95" s="13">
        <f>LISTA[[#This Row],[KILOS]]*5.02</f>
        <v>3006.9799999999996</v>
      </c>
      <c r="M95" s="13">
        <v>5221.4399999999996</v>
      </c>
      <c r="N95" s="13">
        <v>0</v>
      </c>
      <c r="O95" s="76">
        <f>LISTA[[#This Row],[TARIFA CABA]]+LISTA[[#This Row],[TARIFA INTERIOR]]</f>
        <v>8228.4199999999983</v>
      </c>
      <c r="P95" s="81" t="s">
        <v>272</v>
      </c>
      <c r="Q95" s="123">
        <v>46</v>
      </c>
      <c r="R95" s="13">
        <v>0</v>
      </c>
      <c r="S95" s="13">
        <v>498.17799360000004</v>
      </c>
      <c r="T95" s="13">
        <f>LISTA[[#This Row],[VALOR FINAL]]+LISTA[[#This Row],[TARIFA IN]]+LISTA[[#This Row],[TARIFA OUT ]]</f>
        <v>8726.5979935999985</v>
      </c>
    </row>
    <row r="96" spans="1:20" x14ac:dyDescent="0.2">
      <c r="A96" s="13" t="s">
        <v>14</v>
      </c>
      <c r="B96" s="203">
        <v>44876</v>
      </c>
      <c r="C96" s="202" t="s">
        <v>89</v>
      </c>
      <c r="D96" s="14" t="s">
        <v>266</v>
      </c>
      <c r="E96" s="14" t="s">
        <v>196</v>
      </c>
      <c r="F96" s="14" t="s">
        <v>197</v>
      </c>
      <c r="G96" s="14" t="s">
        <v>39</v>
      </c>
      <c r="H96" s="14"/>
      <c r="I96" s="14" t="s">
        <v>165</v>
      </c>
      <c r="J96" s="14">
        <v>2819.95</v>
      </c>
      <c r="K96" s="13">
        <v>0</v>
      </c>
      <c r="L96" s="13">
        <v>14043.35</v>
      </c>
      <c r="M96" s="13">
        <v>0</v>
      </c>
      <c r="N96" s="13">
        <v>0</v>
      </c>
      <c r="O96" s="76">
        <v>14043.35</v>
      </c>
      <c r="P96" s="81" t="s">
        <v>272</v>
      </c>
      <c r="Q96" s="123">
        <v>53</v>
      </c>
      <c r="R96" s="13">
        <v>0</v>
      </c>
      <c r="S96" s="13">
        <v>6968.4376639499997</v>
      </c>
      <c r="T96" s="13">
        <f>LISTA[[#This Row],[VALOR FINAL]]+LISTA[[#This Row],[TARIFA IN]]+LISTA[[#This Row],[TARIFA OUT ]]</f>
        <v>21011.787663949999</v>
      </c>
    </row>
    <row r="97" spans="1:20" x14ac:dyDescent="0.2">
      <c r="A97" s="13" t="s">
        <v>14</v>
      </c>
      <c r="B97" s="203">
        <v>44876</v>
      </c>
      <c r="C97" s="202" t="s">
        <v>38</v>
      </c>
      <c r="D97" s="14" t="s">
        <v>254</v>
      </c>
      <c r="E97" s="14" t="s">
        <v>189</v>
      </c>
      <c r="F97" s="14" t="s">
        <v>190</v>
      </c>
      <c r="G97" s="14" t="s">
        <v>97</v>
      </c>
      <c r="H97" s="14"/>
      <c r="I97" s="14" t="s">
        <v>191</v>
      </c>
      <c r="J97" s="14">
        <v>2158.4499999999998</v>
      </c>
      <c r="K97" s="13">
        <v>0</v>
      </c>
      <c r="L97" s="13">
        <v>10749.08</v>
      </c>
      <c r="M97" s="13">
        <v>41873.93</v>
      </c>
      <c r="N97" s="13">
        <v>0</v>
      </c>
      <c r="O97" s="76">
        <v>52623.01</v>
      </c>
      <c r="P97" s="81" t="s">
        <v>272</v>
      </c>
      <c r="Q97" s="123">
        <v>47</v>
      </c>
      <c r="R97" s="13">
        <v>0</v>
      </c>
      <c r="S97" s="13">
        <v>5333.7911224499994</v>
      </c>
      <c r="T97" s="13">
        <f>LISTA[[#This Row],[VALOR FINAL]]+LISTA[[#This Row],[TARIFA IN]]+LISTA[[#This Row],[TARIFA OUT ]]</f>
        <v>57956.801122450001</v>
      </c>
    </row>
    <row r="98" spans="1:20" x14ac:dyDescent="0.2">
      <c r="A98" s="13" t="s">
        <v>14</v>
      </c>
      <c r="B98" s="203">
        <v>44876</v>
      </c>
      <c r="C98" s="202" t="s">
        <v>38</v>
      </c>
      <c r="D98" s="14" t="s">
        <v>255</v>
      </c>
      <c r="E98" s="14" t="s">
        <v>199</v>
      </c>
      <c r="F98" s="14" t="s">
        <v>206</v>
      </c>
      <c r="G98" s="14" t="s">
        <v>97</v>
      </c>
      <c r="H98" s="14"/>
      <c r="I98" s="14" t="s">
        <v>200</v>
      </c>
      <c r="J98" s="14">
        <v>1825.96</v>
      </c>
      <c r="K98" s="13">
        <v>0</v>
      </c>
      <c r="L98" s="13">
        <v>9093.2800000000007</v>
      </c>
      <c r="M98" s="13">
        <v>28430.2</v>
      </c>
      <c r="N98" s="13">
        <v>0</v>
      </c>
      <c r="O98" s="76">
        <v>37523.480000000003</v>
      </c>
      <c r="P98" s="81" t="s">
        <v>272</v>
      </c>
      <c r="Q98" s="123">
        <v>48</v>
      </c>
      <c r="R98" s="13">
        <v>0</v>
      </c>
      <c r="S98" s="13">
        <v>4512.1681011600003</v>
      </c>
      <c r="T98" s="13">
        <f>LISTA[[#This Row],[VALOR FINAL]]+LISTA[[#This Row],[TARIFA IN]]+LISTA[[#This Row],[TARIFA OUT ]]</f>
        <v>42035.648101160004</v>
      </c>
    </row>
    <row r="99" spans="1:20" x14ac:dyDescent="0.2">
      <c r="A99" s="13" t="s">
        <v>14</v>
      </c>
      <c r="B99" s="203">
        <v>44876</v>
      </c>
      <c r="C99" s="202" t="s">
        <v>89</v>
      </c>
      <c r="D99" s="14" t="s">
        <v>267</v>
      </c>
      <c r="E99" s="14" t="s">
        <v>169</v>
      </c>
      <c r="F99" s="14" t="s">
        <v>170</v>
      </c>
      <c r="G99" s="14" t="s">
        <v>39</v>
      </c>
      <c r="H99" s="14"/>
      <c r="I99" s="14" t="s">
        <v>171</v>
      </c>
      <c r="J99" s="14">
        <v>1456.72</v>
      </c>
      <c r="K99" s="13">
        <v>0</v>
      </c>
      <c r="L99" s="13">
        <v>7254.47</v>
      </c>
      <c r="M99" s="13">
        <v>0</v>
      </c>
      <c r="N99" s="13">
        <v>0</v>
      </c>
      <c r="O99" s="76">
        <v>7254.47</v>
      </c>
      <c r="P99" s="81" t="s">
        <v>272</v>
      </c>
      <c r="Q99" s="123">
        <v>54</v>
      </c>
      <c r="R99" s="13">
        <v>0</v>
      </c>
      <c r="S99" s="13">
        <v>3599.7313831200004</v>
      </c>
      <c r="T99" s="13">
        <f>LISTA[[#This Row],[VALOR FINAL]]+LISTA[[#This Row],[TARIFA IN]]+LISTA[[#This Row],[TARIFA OUT ]]</f>
        <v>10854.20138312</v>
      </c>
    </row>
    <row r="100" spans="1:20" x14ac:dyDescent="0.2">
      <c r="A100" s="13" t="s">
        <v>14</v>
      </c>
      <c r="B100" s="203">
        <v>44876</v>
      </c>
      <c r="C100" s="202" t="s">
        <v>91</v>
      </c>
      <c r="D100" s="14" t="s">
        <v>261</v>
      </c>
      <c r="E100" s="14" t="s">
        <v>262</v>
      </c>
      <c r="F100" s="14" t="s">
        <v>263</v>
      </c>
      <c r="G100" s="14" t="s">
        <v>97</v>
      </c>
      <c r="H100" s="14"/>
      <c r="I100" s="14" t="s">
        <v>264</v>
      </c>
      <c r="J100" s="14">
        <v>1364.52</v>
      </c>
      <c r="K100" s="13">
        <v>0</v>
      </c>
      <c r="L100" s="13">
        <v>6795.31</v>
      </c>
      <c r="M100" s="13">
        <v>25748.49</v>
      </c>
      <c r="N100" s="13">
        <v>0</v>
      </c>
      <c r="O100" s="76">
        <v>32543.8</v>
      </c>
      <c r="P100" s="81" t="s">
        <v>272</v>
      </c>
      <c r="Q100" s="123">
        <v>51</v>
      </c>
      <c r="R100" s="13">
        <v>0</v>
      </c>
      <c r="S100" s="13">
        <v>3371.8940269200002</v>
      </c>
      <c r="T100" s="13">
        <f>LISTA[[#This Row],[VALOR FINAL]]+LISTA[[#This Row],[TARIFA IN]]+LISTA[[#This Row],[TARIFA OUT ]]</f>
        <v>35915.694026919999</v>
      </c>
    </row>
    <row r="101" spans="1:20" x14ac:dyDescent="0.2">
      <c r="A101" s="13" t="s">
        <v>14</v>
      </c>
      <c r="B101" s="203">
        <v>44879</v>
      </c>
      <c r="C101" s="202" t="s">
        <v>38</v>
      </c>
      <c r="D101" s="14" t="s">
        <v>359</v>
      </c>
      <c r="E101" s="14" t="s">
        <v>357</v>
      </c>
      <c r="F101" s="14" t="s">
        <v>123</v>
      </c>
      <c r="G101" s="14" t="s">
        <v>39</v>
      </c>
      <c r="H101" s="14"/>
      <c r="I101" s="14" t="s">
        <v>358</v>
      </c>
      <c r="J101" s="14">
        <v>7749</v>
      </c>
      <c r="K101" s="13">
        <v>0</v>
      </c>
      <c r="L101" s="13">
        <v>39287.43</v>
      </c>
      <c r="M101" s="13">
        <v>0</v>
      </c>
      <c r="N101" s="13">
        <v>0</v>
      </c>
      <c r="O101" s="76">
        <v>39287.43</v>
      </c>
      <c r="P101" s="81" t="s">
        <v>272</v>
      </c>
      <c r="Q101" s="123">
        <v>123</v>
      </c>
      <c r="R101" s="13">
        <v>0</v>
      </c>
      <c r="S101" s="13">
        <v>19148.716629000002</v>
      </c>
      <c r="T101" s="13">
        <f>LISTA[[#This Row],[VALOR FINAL]]+LISTA[[#This Row],[TARIFA IN]]+LISTA[[#This Row],[TARIFA OUT ]]</f>
        <v>58436.146629000003</v>
      </c>
    </row>
    <row r="102" spans="1:20" x14ac:dyDescent="0.2">
      <c r="A102" s="13" t="s">
        <v>14</v>
      </c>
      <c r="B102" s="203">
        <v>44879</v>
      </c>
      <c r="C102" s="202" t="s">
        <v>38</v>
      </c>
      <c r="D102" s="14" t="s">
        <v>360</v>
      </c>
      <c r="E102" s="14" t="s">
        <v>357</v>
      </c>
      <c r="F102" s="14" t="s">
        <v>123</v>
      </c>
      <c r="G102" s="14" t="s">
        <v>39</v>
      </c>
      <c r="H102" s="14"/>
      <c r="I102" s="14" t="s">
        <v>358</v>
      </c>
      <c r="J102" s="14">
        <v>4009.92</v>
      </c>
      <c r="K102" s="13">
        <v>0</v>
      </c>
      <c r="L102" s="13">
        <v>20330.29</v>
      </c>
      <c r="M102" s="13">
        <v>0</v>
      </c>
      <c r="N102" s="13">
        <v>0</v>
      </c>
      <c r="O102" s="76">
        <v>20330.29</v>
      </c>
      <c r="P102" s="81" t="s">
        <v>272</v>
      </c>
      <c r="Q102" s="123">
        <v>124</v>
      </c>
      <c r="R102" s="13">
        <v>0</v>
      </c>
      <c r="S102" s="13">
        <v>9908.9975203200011</v>
      </c>
      <c r="T102" s="13">
        <f>LISTA[[#This Row],[VALOR FINAL]]+LISTA[[#This Row],[TARIFA IN]]+LISTA[[#This Row],[TARIFA OUT ]]</f>
        <v>30239.287520320002</v>
      </c>
    </row>
    <row r="103" spans="1:20" x14ac:dyDescent="0.2">
      <c r="A103" s="13" t="s">
        <v>14</v>
      </c>
      <c r="B103" s="203">
        <v>44876</v>
      </c>
      <c r="C103" s="202" t="s">
        <v>38</v>
      </c>
      <c r="D103" s="14" t="s">
        <v>256</v>
      </c>
      <c r="E103" s="14" t="s">
        <v>175</v>
      </c>
      <c r="F103" s="14" t="s">
        <v>95</v>
      </c>
      <c r="G103" s="14" t="s">
        <v>97</v>
      </c>
      <c r="H103" s="14"/>
      <c r="I103" s="14" t="s">
        <v>176</v>
      </c>
      <c r="J103" s="14">
        <v>18.559999999999999</v>
      </c>
      <c r="K103" s="13">
        <v>0</v>
      </c>
      <c r="L103" s="13">
        <v>1021.38</v>
      </c>
      <c r="M103" s="13">
        <v>2715.39</v>
      </c>
      <c r="N103" s="13">
        <v>0</v>
      </c>
      <c r="O103" s="76">
        <v>3736.77</v>
      </c>
      <c r="P103" s="81" t="s">
        <v>272</v>
      </c>
      <c r="Q103" s="123">
        <v>49</v>
      </c>
      <c r="R103" s="13">
        <v>0</v>
      </c>
      <c r="S103" s="13">
        <v>45.864005759999998</v>
      </c>
      <c r="T103" s="13">
        <f>LISTA[[#This Row],[VALOR FINAL]]+LISTA[[#This Row],[TARIFA IN]]+LISTA[[#This Row],[TARIFA OUT ]]</f>
        <v>3782.63400576</v>
      </c>
    </row>
    <row r="104" spans="1:20" x14ac:dyDescent="0.2">
      <c r="A104" s="13" t="s">
        <v>14</v>
      </c>
      <c r="B104" s="203">
        <v>44876</v>
      </c>
      <c r="C104" s="202" t="s">
        <v>38</v>
      </c>
      <c r="D104" s="14" t="s">
        <v>257</v>
      </c>
      <c r="E104" s="14" t="s">
        <v>258</v>
      </c>
      <c r="F104" s="14" t="s">
        <v>259</v>
      </c>
      <c r="G104" s="14" t="s">
        <v>97</v>
      </c>
      <c r="H104" s="14"/>
      <c r="I104" s="14" t="s">
        <v>260</v>
      </c>
      <c r="J104" s="14">
        <v>1409.66</v>
      </c>
      <c r="K104" s="13">
        <v>0</v>
      </c>
      <c r="L104" s="13">
        <v>7020.11</v>
      </c>
      <c r="M104" s="13">
        <v>21116.71</v>
      </c>
      <c r="N104" s="13">
        <v>0</v>
      </c>
      <c r="O104" s="76">
        <v>28136.81</v>
      </c>
      <c r="P104" s="81" t="s">
        <v>272</v>
      </c>
      <c r="Q104" s="123">
        <v>50</v>
      </c>
      <c r="R104" s="13">
        <v>0</v>
      </c>
      <c r="S104" s="13">
        <v>3483.4404288600003</v>
      </c>
      <c r="T104" s="13">
        <f>LISTA[[#This Row],[VALOR FINAL]]+LISTA[[#This Row],[TARIFA IN]]+LISTA[[#This Row],[TARIFA OUT ]]</f>
        <v>31620.250428860003</v>
      </c>
    </row>
    <row r="105" spans="1:20" x14ac:dyDescent="0.2">
      <c r="A105" s="13" t="s">
        <v>14</v>
      </c>
      <c r="B105" s="203">
        <v>44876</v>
      </c>
      <c r="C105" s="202" t="s">
        <v>89</v>
      </c>
      <c r="D105" s="14" t="s">
        <v>268</v>
      </c>
      <c r="E105" s="14" t="s">
        <v>159</v>
      </c>
      <c r="F105" s="14" t="s">
        <v>161</v>
      </c>
      <c r="G105" s="14" t="s">
        <v>39</v>
      </c>
      <c r="H105" s="14"/>
      <c r="I105" s="14" t="s">
        <v>164</v>
      </c>
      <c r="J105" s="14">
        <v>764.24</v>
      </c>
      <c r="K105" s="13">
        <v>0</v>
      </c>
      <c r="L105" s="13">
        <v>3836.48</v>
      </c>
      <c r="M105" s="13">
        <v>0</v>
      </c>
      <c r="N105" s="13">
        <v>0</v>
      </c>
      <c r="O105" s="76">
        <v>3836.48</v>
      </c>
      <c r="P105" s="81" t="s">
        <v>272</v>
      </c>
      <c r="Q105" s="123">
        <v>55</v>
      </c>
      <c r="R105" s="13">
        <v>0</v>
      </c>
      <c r="S105" s="13">
        <v>1888.5295130400002</v>
      </c>
      <c r="T105" s="13">
        <f>LISTA[[#This Row],[VALOR FINAL]]+LISTA[[#This Row],[TARIFA IN]]+LISTA[[#This Row],[TARIFA OUT ]]</f>
        <v>5725.0095130400005</v>
      </c>
    </row>
    <row r="106" spans="1:20" x14ac:dyDescent="0.2">
      <c r="A106" s="13" t="s">
        <v>14</v>
      </c>
      <c r="B106" s="203">
        <v>44879</v>
      </c>
      <c r="C106" s="202" t="s">
        <v>89</v>
      </c>
      <c r="D106" s="14" t="s">
        <v>325</v>
      </c>
      <c r="E106" s="14" t="s">
        <v>326</v>
      </c>
      <c r="F106" s="14" t="s">
        <v>327</v>
      </c>
      <c r="G106" s="14" t="s">
        <v>97</v>
      </c>
      <c r="H106" s="14"/>
      <c r="I106" s="14" t="s">
        <v>328</v>
      </c>
      <c r="J106" s="14">
        <v>191.68</v>
      </c>
      <c r="K106" s="13">
        <v>0</v>
      </c>
      <c r="L106" s="13">
        <v>1021.38</v>
      </c>
      <c r="M106" s="13">
        <v>2997.88</v>
      </c>
      <c r="N106" s="13">
        <v>0</v>
      </c>
      <c r="O106" s="76">
        <v>4019.26</v>
      </c>
      <c r="P106" s="81" t="s">
        <v>272</v>
      </c>
      <c r="Q106" s="123">
        <v>108</v>
      </c>
      <c r="R106" s="13">
        <v>0</v>
      </c>
      <c r="S106" s="13">
        <v>473.66447328000004</v>
      </c>
      <c r="T106" s="13">
        <f>LISTA[[#This Row],[VALOR FINAL]]+LISTA[[#This Row],[TARIFA IN]]+LISTA[[#This Row],[TARIFA OUT ]]</f>
        <v>4492.9244732799998</v>
      </c>
    </row>
    <row r="107" spans="1:20" x14ac:dyDescent="0.2">
      <c r="A107" s="13" t="s">
        <v>14</v>
      </c>
      <c r="B107" s="203">
        <v>44879</v>
      </c>
      <c r="C107" s="202" t="s">
        <v>89</v>
      </c>
      <c r="D107" s="14" t="s">
        <v>329</v>
      </c>
      <c r="E107" s="14" t="s">
        <v>330</v>
      </c>
      <c r="F107" s="14" t="s">
        <v>123</v>
      </c>
      <c r="G107" s="14" t="s">
        <v>39</v>
      </c>
      <c r="H107" s="14"/>
      <c r="I107" s="14" t="s">
        <v>331</v>
      </c>
      <c r="J107" s="14">
        <v>576.26</v>
      </c>
      <c r="K107" s="13">
        <v>0</v>
      </c>
      <c r="L107" s="13">
        <v>2892.83</v>
      </c>
      <c r="M107" s="13">
        <v>0</v>
      </c>
      <c r="N107" s="13">
        <v>0</v>
      </c>
      <c r="O107" s="13">
        <v>2892.83</v>
      </c>
      <c r="P107" s="81" t="s">
        <v>272</v>
      </c>
      <c r="Q107" s="123">
        <v>109</v>
      </c>
      <c r="R107" s="13">
        <v>0</v>
      </c>
      <c r="S107" s="13">
        <v>1424.00818746</v>
      </c>
      <c r="T107" s="13">
        <f>LISTA[[#This Row],[VALOR FINAL]]+LISTA[[#This Row],[TARIFA IN]]+LISTA[[#This Row],[TARIFA OUT ]]</f>
        <v>4316.83818746</v>
      </c>
    </row>
    <row r="108" spans="1:20" x14ac:dyDescent="0.2">
      <c r="A108" s="13" t="s">
        <v>14</v>
      </c>
      <c r="B108" s="203">
        <v>44879</v>
      </c>
      <c r="C108" s="202" t="s">
        <v>91</v>
      </c>
      <c r="D108" s="14" t="s">
        <v>296</v>
      </c>
      <c r="E108" s="14" t="s">
        <v>297</v>
      </c>
      <c r="F108" s="14" t="s">
        <v>123</v>
      </c>
      <c r="G108" s="14" t="s">
        <v>39</v>
      </c>
      <c r="H108" s="14"/>
      <c r="I108" s="14" t="s">
        <v>298</v>
      </c>
      <c r="J108" s="14">
        <v>191.68</v>
      </c>
      <c r="K108" s="13">
        <v>0</v>
      </c>
      <c r="L108" s="13">
        <v>1036.48</v>
      </c>
      <c r="M108" s="13">
        <v>0</v>
      </c>
      <c r="N108" s="13">
        <v>0</v>
      </c>
      <c r="O108" s="76">
        <v>1036.48</v>
      </c>
      <c r="P108" s="81" t="s">
        <v>272</v>
      </c>
      <c r="Q108" s="123">
        <v>95</v>
      </c>
      <c r="R108" s="13">
        <v>0</v>
      </c>
      <c r="S108" s="13">
        <v>473.66447328000004</v>
      </c>
      <c r="T108" s="13">
        <f>LISTA[[#This Row],[VALOR FINAL]]+LISTA[[#This Row],[TARIFA IN]]+LISTA[[#This Row],[TARIFA OUT ]]</f>
        <v>1510.1444732800001</v>
      </c>
    </row>
    <row r="109" spans="1:20" x14ac:dyDescent="0.2">
      <c r="A109" s="13" t="s">
        <v>14</v>
      </c>
      <c r="B109" s="203">
        <v>44879</v>
      </c>
      <c r="C109" s="202" t="s">
        <v>89</v>
      </c>
      <c r="D109" s="14" t="s">
        <v>332</v>
      </c>
      <c r="E109" s="14" t="s">
        <v>333</v>
      </c>
      <c r="F109" s="14" t="s">
        <v>334</v>
      </c>
      <c r="G109" s="14" t="s">
        <v>97</v>
      </c>
      <c r="H109" s="14"/>
      <c r="I109" s="14" t="s">
        <v>335</v>
      </c>
      <c r="J109" s="14">
        <v>749.76</v>
      </c>
      <c r="K109" s="13">
        <v>0</v>
      </c>
      <c r="L109" s="13">
        <v>3763.8</v>
      </c>
      <c r="M109" s="13">
        <v>22710.23</v>
      </c>
      <c r="N109" s="13">
        <v>0</v>
      </c>
      <c r="O109" s="76">
        <v>26474.03</v>
      </c>
      <c r="P109" s="81" t="s">
        <v>272</v>
      </c>
      <c r="Q109" s="123">
        <v>110</v>
      </c>
      <c r="R109" s="13">
        <v>0</v>
      </c>
      <c r="S109" s="13">
        <v>1852.74768096</v>
      </c>
      <c r="T109" s="13">
        <f>LISTA[[#This Row],[VALOR FINAL]]+LISTA[[#This Row],[TARIFA IN]]+LISTA[[#This Row],[TARIFA OUT ]]</f>
        <v>28326.77768096</v>
      </c>
    </row>
    <row r="110" spans="1:20" x14ac:dyDescent="0.2">
      <c r="A110" s="13" t="s">
        <v>14</v>
      </c>
      <c r="B110" s="203">
        <v>44879</v>
      </c>
      <c r="C110" s="202" t="s">
        <v>38</v>
      </c>
      <c r="D110" s="14" t="s">
        <v>361</v>
      </c>
      <c r="E110" s="14" t="s">
        <v>362</v>
      </c>
      <c r="F110" s="14" t="s">
        <v>363</v>
      </c>
      <c r="G110" s="14" t="s">
        <v>39</v>
      </c>
      <c r="H110" s="14"/>
      <c r="I110" s="14" t="s">
        <v>364</v>
      </c>
      <c r="J110" s="14">
        <v>2791.14</v>
      </c>
      <c r="K110" s="13">
        <v>0</v>
      </c>
      <c r="L110" s="13">
        <v>13899.88</v>
      </c>
      <c r="M110" s="13">
        <v>0</v>
      </c>
      <c r="N110" s="13">
        <v>0</v>
      </c>
      <c r="O110" s="76">
        <v>13899.88</v>
      </c>
      <c r="P110" s="81" t="s">
        <v>272</v>
      </c>
      <c r="Q110" s="123">
        <v>125</v>
      </c>
      <c r="R110" s="13">
        <v>0</v>
      </c>
      <c r="S110" s="13">
        <v>6897.24466794</v>
      </c>
      <c r="T110" s="13">
        <f>LISTA[[#This Row],[VALOR FINAL]]+LISTA[[#This Row],[TARIFA IN]]+LISTA[[#This Row],[TARIFA OUT ]]</f>
        <v>20797.124667939999</v>
      </c>
    </row>
    <row r="111" spans="1:20" x14ac:dyDescent="0.2">
      <c r="A111" s="13" t="s">
        <v>14</v>
      </c>
      <c r="B111" s="203">
        <v>44879</v>
      </c>
      <c r="C111" s="202" t="s">
        <v>38</v>
      </c>
      <c r="D111" s="14" t="s">
        <v>365</v>
      </c>
      <c r="E111" s="14" t="s">
        <v>362</v>
      </c>
      <c r="F111" s="14" t="s">
        <v>363</v>
      </c>
      <c r="G111" s="14" t="s">
        <v>39</v>
      </c>
      <c r="H111" s="14"/>
      <c r="I111" s="14" t="s">
        <v>364</v>
      </c>
      <c r="J111" s="14">
        <v>3309.1</v>
      </c>
      <c r="K111" s="13">
        <v>0</v>
      </c>
      <c r="L111" s="13">
        <v>16479.32</v>
      </c>
      <c r="M111" s="13">
        <v>0</v>
      </c>
      <c r="N111" s="13">
        <v>0</v>
      </c>
      <c r="O111" s="76">
        <v>16479.32</v>
      </c>
      <c r="P111" s="81" t="s">
        <v>272</v>
      </c>
      <c r="Q111" s="123">
        <v>126</v>
      </c>
      <c r="R111" s="13">
        <v>0</v>
      </c>
      <c r="S111" s="13">
        <v>8177.1865011</v>
      </c>
      <c r="T111" s="13">
        <f>LISTA[[#This Row],[VALOR FINAL]]+LISTA[[#This Row],[TARIFA IN]]+LISTA[[#This Row],[TARIFA OUT ]]</f>
        <v>24656.506501100001</v>
      </c>
    </row>
    <row r="112" spans="1:20" x14ac:dyDescent="0.2">
      <c r="A112" s="13" t="s">
        <v>14</v>
      </c>
      <c r="B112" s="203">
        <v>44879</v>
      </c>
      <c r="C112" s="202" t="s">
        <v>38</v>
      </c>
      <c r="D112" s="14" t="s">
        <v>366</v>
      </c>
      <c r="E112" s="14" t="s">
        <v>367</v>
      </c>
      <c r="F112" s="14" t="s">
        <v>147</v>
      </c>
      <c r="G112" s="14" t="s">
        <v>39</v>
      </c>
      <c r="H112" s="14"/>
      <c r="I112" s="14" t="s">
        <v>368</v>
      </c>
      <c r="J112" s="14">
        <v>4376.84</v>
      </c>
      <c r="K112" s="13">
        <v>0</v>
      </c>
      <c r="L112" s="13">
        <v>14137.19</v>
      </c>
      <c r="M112" s="13">
        <v>0</v>
      </c>
      <c r="N112" s="13">
        <v>0</v>
      </c>
      <c r="O112" s="76">
        <v>14137.19</v>
      </c>
      <c r="P112" s="81" t="s">
        <v>272</v>
      </c>
      <c r="Q112" s="123">
        <v>127</v>
      </c>
      <c r="R112" s="13">
        <v>0</v>
      </c>
      <c r="S112" s="13">
        <v>10815.701237640002</v>
      </c>
      <c r="T112" s="13">
        <f>LISTA[[#This Row],[VALOR FINAL]]+LISTA[[#This Row],[TARIFA IN]]+LISTA[[#This Row],[TARIFA OUT ]]</f>
        <v>24952.891237640004</v>
      </c>
    </row>
    <row r="113" spans="1:20" x14ac:dyDescent="0.2">
      <c r="A113" s="13" t="s">
        <v>14</v>
      </c>
      <c r="B113" s="203">
        <v>44879</v>
      </c>
      <c r="C113" s="202" t="s">
        <v>38</v>
      </c>
      <c r="D113" s="14" t="s">
        <v>369</v>
      </c>
      <c r="E113" s="14" t="s">
        <v>367</v>
      </c>
      <c r="F113" s="14" t="s">
        <v>147</v>
      </c>
      <c r="G113" s="14" t="s">
        <v>39</v>
      </c>
      <c r="H113" s="14"/>
      <c r="I113" s="14" t="s">
        <v>368</v>
      </c>
      <c r="J113" s="14">
        <v>3425.78</v>
      </c>
      <c r="K113" s="13">
        <v>0</v>
      </c>
      <c r="L113" s="13">
        <v>17060.38</v>
      </c>
      <c r="M113" s="13">
        <v>0</v>
      </c>
      <c r="N113" s="13">
        <v>0</v>
      </c>
      <c r="O113" s="76">
        <v>17060.38</v>
      </c>
      <c r="P113" s="81" t="s">
        <v>272</v>
      </c>
      <c r="Q113" s="123">
        <v>128</v>
      </c>
      <c r="R113" s="13">
        <v>0</v>
      </c>
      <c r="S113" s="13">
        <v>8465.5168993800016</v>
      </c>
      <c r="T113" s="13">
        <f>LISTA[[#This Row],[VALOR FINAL]]+LISTA[[#This Row],[TARIFA IN]]+LISTA[[#This Row],[TARIFA OUT ]]</f>
        <v>25525.896899380001</v>
      </c>
    </row>
    <row r="114" spans="1:20" x14ac:dyDescent="0.2">
      <c r="A114" s="13" t="s">
        <v>14</v>
      </c>
      <c r="B114" s="203">
        <v>44884</v>
      </c>
      <c r="C114" s="202" t="s">
        <v>44</v>
      </c>
      <c r="D114" s="14" t="s">
        <v>589</v>
      </c>
      <c r="E114" s="14" t="s">
        <v>590</v>
      </c>
      <c r="F114" s="14" t="s">
        <v>123</v>
      </c>
      <c r="G114" s="14" t="s">
        <v>39</v>
      </c>
      <c r="H114" s="14"/>
      <c r="I114" s="14" t="s">
        <v>591</v>
      </c>
      <c r="J114" s="14">
        <v>191.06</v>
      </c>
      <c r="K114" s="13">
        <v>0</v>
      </c>
      <c r="L114" s="13">
        <v>1021.38</v>
      </c>
      <c r="M114" s="13">
        <v>0</v>
      </c>
      <c r="N114" s="13">
        <v>0</v>
      </c>
      <c r="O114" s="76">
        <v>1021.38</v>
      </c>
      <c r="P114" s="81" t="s">
        <v>272</v>
      </c>
      <c r="Q114" s="123">
        <v>281</v>
      </c>
      <c r="R114" s="13"/>
      <c r="S114" s="13"/>
      <c r="T114" s="13">
        <f>LISTA[[#This Row],[VALOR FINAL]]+LISTA[[#This Row],[TARIFA IN]]+LISTA[[#This Row],[TARIFA OUT ]]</f>
        <v>1021.38</v>
      </c>
    </row>
    <row r="115" spans="1:20" x14ac:dyDescent="0.2">
      <c r="A115" s="13" t="s">
        <v>14</v>
      </c>
      <c r="B115" s="203">
        <v>44884</v>
      </c>
      <c r="C115" s="202" t="s">
        <v>44</v>
      </c>
      <c r="D115" s="14" t="s">
        <v>592</v>
      </c>
      <c r="E115" s="14" t="s">
        <v>590</v>
      </c>
      <c r="F115" s="14" t="s">
        <v>123</v>
      </c>
      <c r="G115" s="14" t="s">
        <v>39</v>
      </c>
      <c r="H115" s="14"/>
      <c r="I115" s="14" t="s">
        <v>591</v>
      </c>
      <c r="J115" s="14">
        <v>4591.2</v>
      </c>
      <c r="K115" s="13">
        <v>0</v>
      </c>
      <c r="L115" s="13">
        <v>14829.58</v>
      </c>
      <c r="M115" s="13">
        <v>0</v>
      </c>
      <c r="N115" s="13">
        <v>0</v>
      </c>
      <c r="O115" s="76">
        <v>14829.58</v>
      </c>
      <c r="P115" s="81" t="s">
        <v>272</v>
      </c>
      <c r="Q115" s="123">
        <v>282</v>
      </c>
      <c r="R115" s="13"/>
      <c r="S115" s="13"/>
      <c r="T115" s="13">
        <f>LISTA[[#This Row],[VALOR FINAL]]+LISTA[[#This Row],[TARIFA IN]]+LISTA[[#This Row],[TARIFA OUT ]]</f>
        <v>14829.58</v>
      </c>
    </row>
    <row r="116" spans="1:20" x14ac:dyDescent="0.2">
      <c r="A116" s="13" t="s">
        <v>14</v>
      </c>
      <c r="B116" s="203">
        <v>44884</v>
      </c>
      <c r="C116" s="202" t="s">
        <v>44</v>
      </c>
      <c r="D116" s="14" t="s">
        <v>593</v>
      </c>
      <c r="E116" s="14" t="s">
        <v>590</v>
      </c>
      <c r="F116" s="14" t="s">
        <v>123</v>
      </c>
      <c r="G116" s="14" t="s">
        <v>39</v>
      </c>
      <c r="H116" s="14"/>
      <c r="I116" s="14" t="s">
        <v>591</v>
      </c>
      <c r="J116" s="14">
        <v>18.88</v>
      </c>
      <c r="K116" s="13">
        <v>0</v>
      </c>
      <c r="L116" s="13">
        <v>1021.38</v>
      </c>
      <c r="M116" s="13">
        <v>0</v>
      </c>
      <c r="N116" s="13">
        <v>0</v>
      </c>
      <c r="O116" s="76">
        <v>1021.38</v>
      </c>
      <c r="P116" s="81" t="s">
        <v>272</v>
      </c>
      <c r="Q116" s="123">
        <v>283</v>
      </c>
      <c r="R116" s="13"/>
      <c r="S116" s="13"/>
      <c r="T116" s="13">
        <f>LISTA[[#This Row],[VALOR FINAL]]+LISTA[[#This Row],[TARIFA IN]]+LISTA[[#This Row],[TARIFA OUT ]]</f>
        <v>1021.38</v>
      </c>
    </row>
    <row r="117" spans="1:20" x14ac:dyDescent="0.2">
      <c r="A117" s="13" t="s">
        <v>14</v>
      </c>
      <c r="B117" s="203">
        <v>44879</v>
      </c>
      <c r="C117" s="202" t="s">
        <v>88</v>
      </c>
      <c r="D117" s="14" t="s">
        <v>348</v>
      </c>
      <c r="E117" s="14" t="s">
        <v>346</v>
      </c>
      <c r="F117" s="14" t="s">
        <v>123</v>
      </c>
      <c r="G117" s="14" t="s">
        <v>39</v>
      </c>
      <c r="H117" s="14"/>
      <c r="I117" s="14" t="s">
        <v>347</v>
      </c>
      <c r="J117" s="14">
        <v>1540.8</v>
      </c>
      <c r="K117" s="13">
        <v>0</v>
      </c>
      <c r="L117" s="13">
        <v>7811.86</v>
      </c>
      <c r="M117" s="13">
        <v>0</v>
      </c>
      <c r="N117" s="13">
        <v>0</v>
      </c>
      <c r="O117" s="76">
        <v>7811.86</v>
      </c>
      <c r="P117" s="81" t="s">
        <v>272</v>
      </c>
      <c r="Q117" s="123">
        <v>117</v>
      </c>
      <c r="R117" s="13">
        <v>0</v>
      </c>
      <c r="S117" s="13">
        <v>3807.5032368000002</v>
      </c>
      <c r="T117" s="13">
        <f>LISTA[[#This Row],[VALOR FINAL]]+LISTA[[#This Row],[TARIFA IN]]+LISTA[[#This Row],[TARIFA OUT ]]</f>
        <v>11619.3632368</v>
      </c>
    </row>
    <row r="118" spans="1:20" x14ac:dyDescent="0.2">
      <c r="A118" s="13" t="s">
        <v>14</v>
      </c>
      <c r="B118" s="203">
        <v>44879</v>
      </c>
      <c r="C118" s="202" t="s">
        <v>88</v>
      </c>
      <c r="D118" s="14" t="s">
        <v>349</v>
      </c>
      <c r="E118" s="14" t="s">
        <v>346</v>
      </c>
      <c r="F118" s="14" t="s">
        <v>123</v>
      </c>
      <c r="G118" s="14" t="s">
        <v>39</v>
      </c>
      <c r="H118" s="14"/>
      <c r="I118" s="14" t="s">
        <v>347</v>
      </c>
      <c r="J118" s="14">
        <v>3968.82</v>
      </c>
      <c r="K118" s="13">
        <v>0</v>
      </c>
      <c r="L118" s="13">
        <v>20121.919999999998</v>
      </c>
      <c r="M118" s="13">
        <v>0</v>
      </c>
      <c r="N118" s="13">
        <v>0</v>
      </c>
      <c r="O118" s="76">
        <v>20121.919999999998</v>
      </c>
      <c r="P118" s="81" t="s">
        <v>272</v>
      </c>
      <c r="Q118" s="123">
        <v>118</v>
      </c>
      <c r="R118" s="13">
        <v>0</v>
      </c>
      <c r="S118" s="13">
        <v>9807.4344472200009</v>
      </c>
      <c r="T118" s="13">
        <f>LISTA[[#This Row],[VALOR FINAL]]+LISTA[[#This Row],[TARIFA IN]]+LISTA[[#This Row],[TARIFA OUT ]]</f>
        <v>29929.354447220001</v>
      </c>
    </row>
    <row r="119" spans="1:20" x14ac:dyDescent="0.2">
      <c r="A119" s="13" t="s">
        <v>14</v>
      </c>
      <c r="B119" s="203">
        <v>44880</v>
      </c>
      <c r="C119" s="202" t="s">
        <v>90</v>
      </c>
      <c r="D119" s="14" t="s">
        <v>437</v>
      </c>
      <c r="E119" s="14" t="s">
        <v>438</v>
      </c>
      <c r="F119" s="14" t="s">
        <v>123</v>
      </c>
      <c r="G119" s="14" t="s">
        <v>39</v>
      </c>
      <c r="H119" s="14"/>
      <c r="I119" s="14" t="s">
        <v>439</v>
      </c>
      <c r="J119" s="14">
        <v>18.579999999999998</v>
      </c>
      <c r="K119" s="13">
        <v>0</v>
      </c>
      <c r="L119" s="13">
        <v>1036.48</v>
      </c>
      <c r="M119" s="13"/>
      <c r="N119" s="13">
        <v>0</v>
      </c>
      <c r="O119" s="76">
        <v>1036.48</v>
      </c>
      <c r="P119" s="81" t="s">
        <v>272</v>
      </c>
      <c r="Q119" s="123">
        <v>168</v>
      </c>
      <c r="R119" s="13">
        <v>0</v>
      </c>
      <c r="S119" s="13">
        <v>45.913428179999997</v>
      </c>
      <c r="T119" s="13">
        <f>LISTA[[#This Row],[VALOR FINAL]]+LISTA[[#This Row],[TARIFA IN]]+LISTA[[#This Row],[TARIFA OUT ]]</f>
        <v>1082.39342818</v>
      </c>
    </row>
    <row r="120" spans="1:20" x14ac:dyDescent="0.2">
      <c r="A120" s="13" t="s">
        <v>14</v>
      </c>
      <c r="B120" s="203">
        <v>44879</v>
      </c>
      <c r="C120" s="202" t="s">
        <v>91</v>
      </c>
      <c r="D120" s="14" t="s">
        <v>299</v>
      </c>
      <c r="E120" s="14" t="s">
        <v>300</v>
      </c>
      <c r="F120" s="14" t="s">
        <v>301</v>
      </c>
      <c r="G120" s="14" t="s">
        <v>39</v>
      </c>
      <c r="H120" s="14"/>
      <c r="I120" s="14" t="s">
        <v>302</v>
      </c>
      <c r="J120" s="14">
        <v>117.3</v>
      </c>
      <c r="K120" s="13">
        <v>0</v>
      </c>
      <c r="L120" s="13">
        <v>1021.38</v>
      </c>
      <c r="M120" s="13">
        <v>0</v>
      </c>
      <c r="N120" s="13">
        <v>0</v>
      </c>
      <c r="O120" s="76">
        <v>1021.38</v>
      </c>
      <c r="P120" s="81" t="s">
        <v>272</v>
      </c>
      <c r="Q120" s="123">
        <v>96</v>
      </c>
      <c r="R120" s="13">
        <v>0</v>
      </c>
      <c r="S120" s="13">
        <v>289.86249329999998</v>
      </c>
      <c r="T120" s="13">
        <f>LISTA[[#This Row],[VALOR FINAL]]+LISTA[[#This Row],[TARIFA IN]]+LISTA[[#This Row],[TARIFA OUT ]]</f>
        <v>1311.2424933</v>
      </c>
    </row>
    <row r="121" spans="1:20" x14ac:dyDescent="0.2">
      <c r="A121" s="13" t="s">
        <v>14</v>
      </c>
      <c r="B121" s="203">
        <v>44879</v>
      </c>
      <c r="C121" s="202" t="s">
        <v>88</v>
      </c>
      <c r="D121" s="14" t="s">
        <v>350</v>
      </c>
      <c r="E121" s="14" t="s">
        <v>351</v>
      </c>
      <c r="F121" s="14" t="s">
        <v>123</v>
      </c>
      <c r="G121" s="14" t="s">
        <v>39</v>
      </c>
      <c r="H121" s="14"/>
      <c r="I121" s="14" t="s">
        <v>347</v>
      </c>
      <c r="J121" s="14">
        <v>569.15</v>
      </c>
      <c r="K121" s="13">
        <v>0</v>
      </c>
      <c r="L121" s="13">
        <v>2896.97</v>
      </c>
      <c r="M121" s="13">
        <v>0</v>
      </c>
      <c r="N121" s="13">
        <v>0</v>
      </c>
      <c r="O121" s="76">
        <v>2896.97</v>
      </c>
      <c r="P121" s="81" t="s">
        <v>272</v>
      </c>
      <c r="Q121" s="123">
        <v>119</v>
      </c>
      <c r="R121" s="13">
        <v>0</v>
      </c>
      <c r="S121" s="13">
        <v>1406.4385171500001</v>
      </c>
      <c r="T121" s="13">
        <f>LISTA[[#This Row],[VALOR FINAL]]+LISTA[[#This Row],[TARIFA IN]]+LISTA[[#This Row],[TARIFA OUT ]]</f>
        <v>4303.4085171500001</v>
      </c>
    </row>
    <row r="122" spans="1:20" x14ac:dyDescent="0.2">
      <c r="A122" s="13" t="s">
        <v>14</v>
      </c>
      <c r="B122" s="203">
        <v>44879</v>
      </c>
      <c r="C122" s="202" t="s">
        <v>91</v>
      </c>
      <c r="D122" s="14" t="s">
        <v>303</v>
      </c>
      <c r="E122" s="14" t="s">
        <v>189</v>
      </c>
      <c r="F122" s="14" t="s">
        <v>190</v>
      </c>
      <c r="G122" s="14" t="s">
        <v>39</v>
      </c>
      <c r="H122" s="14"/>
      <c r="I122" s="14" t="s">
        <v>191</v>
      </c>
      <c r="J122" s="14">
        <v>318.58</v>
      </c>
      <c r="K122" s="13">
        <v>0</v>
      </c>
      <c r="L122" s="13">
        <v>1599.27</v>
      </c>
      <c r="M122" s="13">
        <v>0</v>
      </c>
      <c r="N122" s="13">
        <v>0</v>
      </c>
      <c r="O122" s="76">
        <v>1599.27</v>
      </c>
      <c r="P122" s="81" t="s">
        <v>272</v>
      </c>
      <c r="Q122" s="123">
        <v>97</v>
      </c>
      <c r="R122" s="13">
        <v>0</v>
      </c>
      <c r="S122" s="13">
        <v>787.24972818000003</v>
      </c>
      <c r="T122" s="13">
        <f>LISTA[[#This Row],[VALOR FINAL]]+LISTA[[#This Row],[TARIFA IN]]+LISTA[[#This Row],[TARIFA OUT ]]</f>
        <v>2386.5197281800001</v>
      </c>
    </row>
    <row r="123" spans="1:20" x14ac:dyDescent="0.2">
      <c r="A123" s="13" t="s">
        <v>14</v>
      </c>
      <c r="B123" s="203">
        <v>44879</v>
      </c>
      <c r="C123" s="202" t="s">
        <v>91</v>
      </c>
      <c r="D123" s="14" t="s">
        <v>304</v>
      </c>
      <c r="E123" s="14" t="s">
        <v>305</v>
      </c>
      <c r="F123" s="14" t="s">
        <v>306</v>
      </c>
      <c r="G123" s="14" t="s">
        <v>39</v>
      </c>
      <c r="H123" s="14"/>
      <c r="I123" s="14" t="s">
        <v>307</v>
      </c>
      <c r="J123" s="14">
        <v>774.9</v>
      </c>
      <c r="K123" s="13">
        <v>0</v>
      </c>
      <c r="L123" s="13">
        <v>3890</v>
      </c>
      <c r="M123" s="13">
        <v>0</v>
      </c>
      <c r="N123" s="13">
        <v>0</v>
      </c>
      <c r="O123" s="76">
        <v>3890</v>
      </c>
      <c r="P123" s="81" t="s">
        <v>272</v>
      </c>
      <c r="Q123" s="123">
        <v>98</v>
      </c>
      <c r="R123" s="13">
        <v>0</v>
      </c>
      <c r="S123" s="13">
        <v>1914.8716629</v>
      </c>
      <c r="T123" s="13">
        <f>LISTA[[#This Row],[VALOR FINAL]]+LISTA[[#This Row],[TARIFA IN]]+LISTA[[#This Row],[TARIFA OUT ]]</f>
        <v>5804.8716629</v>
      </c>
    </row>
    <row r="124" spans="1:20" x14ac:dyDescent="0.2">
      <c r="A124" s="13" t="s">
        <v>14</v>
      </c>
      <c r="B124" s="203">
        <v>44879</v>
      </c>
      <c r="C124" s="202" t="s">
        <v>148</v>
      </c>
      <c r="D124" s="14" t="s">
        <v>370</v>
      </c>
      <c r="E124" s="14" t="s">
        <v>357</v>
      </c>
      <c r="F124" s="14" t="s">
        <v>123</v>
      </c>
      <c r="G124" s="14" t="s">
        <v>39</v>
      </c>
      <c r="H124" s="14"/>
      <c r="I124" s="14" t="s">
        <v>358</v>
      </c>
      <c r="J124" s="14">
        <v>8093.4</v>
      </c>
      <c r="K124" s="13">
        <v>0</v>
      </c>
      <c r="L124" s="13">
        <v>41033.54</v>
      </c>
      <c r="M124" s="13"/>
      <c r="N124" s="13">
        <v>0</v>
      </c>
      <c r="O124" s="76">
        <v>41033.54</v>
      </c>
      <c r="P124" s="81" t="s">
        <v>272</v>
      </c>
      <c r="Q124" s="123">
        <v>129</v>
      </c>
      <c r="R124" s="13">
        <v>0</v>
      </c>
      <c r="S124" s="13">
        <v>19999.770701400001</v>
      </c>
      <c r="T124" s="13">
        <f>LISTA[[#This Row],[VALOR FINAL]]+LISTA[[#This Row],[TARIFA IN]]+LISTA[[#This Row],[TARIFA OUT ]]</f>
        <v>61033.310701399998</v>
      </c>
    </row>
    <row r="125" spans="1:20" x14ac:dyDescent="0.2">
      <c r="A125" s="13" t="s">
        <v>14</v>
      </c>
      <c r="B125" s="203">
        <v>44880</v>
      </c>
      <c r="C125" s="202" t="s">
        <v>88</v>
      </c>
      <c r="D125" s="14" t="s">
        <v>436</v>
      </c>
      <c r="E125" s="14" t="s">
        <v>357</v>
      </c>
      <c r="F125" s="14" t="s">
        <v>123</v>
      </c>
      <c r="G125" s="14" t="s">
        <v>39</v>
      </c>
      <c r="H125" s="14"/>
      <c r="I125" s="14" t="s">
        <v>358</v>
      </c>
      <c r="J125" s="14">
        <v>7781.8</v>
      </c>
      <c r="K125" s="13">
        <v>0</v>
      </c>
      <c r="L125" s="13">
        <v>39453.730000000003</v>
      </c>
      <c r="M125" s="13"/>
      <c r="N125" s="13">
        <v>0</v>
      </c>
      <c r="O125" s="76">
        <v>39453.730000000003</v>
      </c>
      <c r="P125" s="81" t="s">
        <v>272</v>
      </c>
      <c r="Q125" s="123">
        <v>167</v>
      </c>
      <c r="R125" s="13">
        <v>0</v>
      </c>
      <c r="S125" s="13">
        <v>19229.769397800002</v>
      </c>
      <c r="T125" s="13">
        <f>LISTA[[#This Row],[VALOR FINAL]]+LISTA[[#This Row],[TARIFA IN]]+LISTA[[#This Row],[TARIFA OUT ]]</f>
        <v>58683.499397800006</v>
      </c>
    </row>
    <row r="126" spans="1:20" x14ac:dyDescent="0.2">
      <c r="A126" s="13" t="s">
        <v>14</v>
      </c>
      <c r="B126" s="203">
        <v>44879</v>
      </c>
      <c r="C126" s="202" t="s">
        <v>88</v>
      </c>
      <c r="D126" s="14" t="s">
        <v>352</v>
      </c>
      <c r="E126" s="14" t="s">
        <v>353</v>
      </c>
      <c r="F126" s="14" t="s">
        <v>123</v>
      </c>
      <c r="G126" s="14" t="s">
        <v>39</v>
      </c>
      <c r="H126" s="14"/>
      <c r="I126" s="14" t="s">
        <v>354</v>
      </c>
      <c r="J126" s="14">
        <v>144.72</v>
      </c>
      <c r="K126" s="13">
        <v>0</v>
      </c>
      <c r="L126" s="13">
        <v>1036.48</v>
      </c>
      <c r="M126" s="13">
        <v>0</v>
      </c>
      <c r="N126" s="13">
        <v>0</v>
      </c>
      <c r="O126" s="76">
        <v>1036.48</v>
      </c>
      <c r="P126" s="81" t="s">
        <v>272</v>
      </c>
      <c r="Q126" s="123">
        <v>120</v>
      </c>
      <c r="R126" s="13">
        <v>0</v>
      </c>
      <c r="S126" s="13">
        <v>357.62063112000004</v>
      </c>
      <c r="T126" s="13">
        <f>LISTA[[#This Row],[VALOR FINAL]]+LISTA[[#This Row],[TARIFA IN]]+LISTA[[#This Row],[TARIFA OUT ]]</f>
        <v>1394.1006311200001</v>
      </c>
    </row>
    <row r="127" spans="1:20" x14ac:dyDescent="0.2">
      <c r="A127" s="13" t="s">
        <v>14</v>
      </c>
      <c r="B127" s="203">
        <v>44879</v>
      </c>
      <c r="C127" s="202" t="s">
        <v>89</v>
      </c>
      <c r="D127" s="14" t="s">
        <v>336</v>
      </c>
      <c r="E127" s="14" t="s">
        <v>337</v>
      </c>
      <c r="F127" s="14" t="s">
        <v>130</v>
      </c>
      <c r="G127" s="14" t="s">
        <v>97</v>
      </c>
      <c r="H127" s="14"/>
      <c r="I127" s="14" t="s">
        <v>319</v>
      </c>
      <c r="J127" s="14">
        <v>381.68</v>
      </c>
      <c r="K127" s="13">
        <v>0</v>
      </c>
      <c r="L127" s="13">
        <v>1916.03</v>
      </c>
      <c r="M127" s="13">
        <v>7797.72</v>
      </c>
      <c r="N127" s="13">
        <v>0</v>
      </c>
      <c r="O127" s="76">
        <v>9713.76</v>
      </c>
      <c r="P127" s="81" t="s">
        <v>272</v>
      </c>
      <c r="Q127" s="123">
        <v>111</v>
      </c>
      <c r="R127" s="13">
        <v>0</v>
      </c>
      <c r="S127" s="13">
        <v>943.1774632800001</v>
      </c>
      <c r="T127" s="13">
        <f>LISTA[[#This Row],[VALOR FINAL]]+LISTA[[#This Row],[TARIFA IN]]+LISTA[[#This Row],[TARIFA OUT ]]</f>
        <v>10656.937463280001</v>
      </c>
    </row>
    <row r="128" spans="1:20" x14ac:dyDescent="0.2">
      <c r="A128" s="13" t="s">
        <v>14</v>
      </c>
      <c r="B128" s="203">
        <v>44879</v>
      </c>
      <c r="C128" s="202" t="s">
        <v>89</v>
      </c>
      <c r="D128" s="14" t="s">
        <v>338</v>
      </c>
      <c r="E128" s="14" t="s">
        <v>314</v>
      </c>
      <c r="F128" s="14" t="s">
        <v>130</v>
      </c>
      <c r="G128" s="14" t="s">
        <v>97</v>
      </c>
      <c r="H128" s="14"/>
      <c r="I128" s="14" t="s">
        <v>319</v>
      </c>
      <c r="J128" s="14">
        <v>982.98</v>
      </c>
      <c r="K128" s="13">
        <v>0</v>
      </c>
      <c r="L128" s="13">
        <v>4934.5600000000004</v>
      </c>
      <c r="M128" s="13">
        <v>20082.28</v>
      </c>
      <c r="N128" s="13">
        <v>0</v>
      </c>
      <c r="O128" s="76">
        <v>25016.84</v>
      </c>
      <c r="P128" s="81" t="s">
        <v>272</v>
      </c>
      <c r="Q128" s="123">
        <v>112</v>
      </c>
      <c r="R128" s="13">
        <v>0</v>
      </c>
      <c r="S128" s="13">
        <v>2429.0625205800002</v>
      </c>
      <c r="T128" s="13">
        <f>LISTA[[#This Row],[VALOR FINAL]]+LISTA[[#This Row],[TARIFA IN]]+LISTA[[#This Row],[TARIFA OUT ]]</f>
        <v>27445.902520579999</v>
      </c>
    </row>
    <row r="129" spans="1:20" x14ac:dyDescent="0.2">
      <c r="A129" s="13" t="s">
        <v>14</v>
      </c>
      <c r="B129" s="203">
        <v>44879</v>
      </c>
      <c r="C129" s="202" t="s">
        <v>91</v>
      </c>
      <c r="D129" s="14" t="s">
        <v>308</v>
      </c>
      <c r="E129" s="14" t="s">
        <v>297</v>
      </c>
      <c r="F129" s="14" t="s">
        <v>123</v>
      </c>
      <c r="G129" s="14" t="s">
        <v>39</v>
      </c>
      <c r="H129" s="14"/>
      <c r="I129" s="14" t="s">
        <v>309</v>
      </c>
      <c r="J129" s="14">
        <v>920</v>
      </c>
      <c r="K129" s="13">
        <v>0</v>
      </c>
      <c r="L129" s="13">
        <f>LISTA[[#This Row],[KILOS]]*5.09</f>
        <v>4682.8</v>
      </c>
      <c r="M129" s="13">
        <v>0</v>
      </c>
      <c r="N129" s="13">
        <v>0</v>
      </c>
      <c r="O129" s="13">
        <f>LISTA[[#This Row],[KILOS]]*5.09</f>
        <v>4682.8</v>
      </c>
      <c r="P129" s="81" t="s">
        <v>272</v>
      </c>
      <c r="Q129" s="123">
        <v>99</v>
      </c>
      <c r="R129" s="13">
        <v>0</v>
      </c>
      <c r="S129" s="13">
        <v>953.4820378500001</v>
      </c>
      <c r="T129" s="13">
        <f>LISTA[[#This Row],[VALOR FINAL]]+LISTA[[#This Row],[TARIFA IN]]+LISTA[[#This Row],[TARIFA OUT ]]</f>
        <v>5636.2820378500001</v>
      </c>
    </row>
    <row r="130" spans="1:20" x14ac:dyDescent="0.2">
      <c r="A130" s="201" t="s">
        <v>15</v>
      </c>
      <c r="B130" s="190">
        <v>44869</v>
      </c>
      <c r="C130" s="14" t="s">
        <v>42</v>
      </c>
      <c r="D130" s="14" t="s">
        <v>238</v>
      </c>
      <c r="E130" s="14" t="s">
        <v>371</v>
      </c>
      <c r="F130" s="14" t="s">
        <v>39</v>
      </c>
      <c r="G130" s="14" t="s">
        <v>39</v>
      </c>
      <c r="H130" s="14"/>
      <c r="I130" s="14" t="s">
        <v>45</v>
      </c>
      <c r="J130" s="14">
        <v>0</v>
      </c>
      <c r="K130" s="13">
        <v>43077.1</v>
      </c>
      <c r="L130" s="13">
        <v>0</v>
      </c>
      <c r="M130" s="13">
        <v>0</v>
      </c>
      <c r="N130" s="13">
        <v>0</v>
      </c>
      <c r="O130" s="76">
        <v>43077.1</v>
      </c>
      <c r="P130" s="81" t="s">
        <v>272</v>
      </c>
      <c r="Q130" s="123">
        <v>130</v>
      </c>
      <c r="R130" s="13"/>
      <c r="S130" s="13"/>
      <c r="T130" s="13">
        <f>LISTA[[#This Row],[VALOR FINAL]]+LISTA[[#This Row],[TARIFA IN]]+LISTA[[#This Row],[TARIFA OUT ]]</f>
        <v>43077.1</v>
      </c>
    </row>
    <row r="131" spans="1:20" x14ac:dyDescent="0.2">
      <c r="A131" s="201" t="s">
        <v>15</v>
      </c>
      <c r="B131" s="190">
        <v>44873</v>
      </c>
      <c r="C131" s="14" t="s">
        <v>40</v>
      </c>
      <c r="D131" s="14" t="s">
        <v>246</v>
      </c>
      <c r="E131" s="14" t="s">
        <v>372</v>
      </c>
      <c r="F131" s="14" t="s">
        <v>39</v>
      </c>
      <c r="G131" s="14" t="s">
        <v>39</v>
      </c>
      <c r="H131" s="14"/>
      <c r="I131" s="14" t="s">
        <v>45</v>
      </c>
      <c r="J131" s="14">
        <v>0</v>
      </c>
      <c r="K131" s="13">
        <v>43077.1</v>
      </c>
      <c r="L131" s="13">
        <v>0</v>
      </c>
      <c r="M131" s="13">
        <v>0</v>
      </c>
      <c r="N131" s="13">
        <v>0</v>
      </c>
      <c r="O131" s="76">
        <v>43077.1</v>
      </c>
      <c r="P131" s="81" t="s">
        <v>272</v>
      </c>
      <c r="Q131" s="123">
        <v>131</v>
      </c>
      <c r="R131" s="13"/>
      <c r="S131" s="13"/>
      <c r="T131" s="13">
        <f>LISTA[[#This Row],[VALOR FINAL]]+LISTA[[#This Row],[TARIFA IN]]+LISTA[[#This Row],[TARIFA OUT ]]</f>
        <v>43077.1</v>
      </c>
    </row>
    <row r="132" spans="1:20" x14ac:dyDescent="0.2">
      <c r="A132" s="201" t="s">
        <v>15</v>
      </c>
      <c r="B132" s="190">
        <v>44873</v>
      </c>
      <c r="C132" s="14" t="s">
        <v>42</v>
      </c>
      <c r="D132" s="14" t="s">
        <v>278</v>
      </c>
      <c r="E132" s="14" t="s">
        <v>372</v>
      </c>
      <c r="F132" s="14" t="s">
        <v>39</v>
      </c>
      <c r="G132" s="14" t="s">
        <v>39</v>
      </c>
      <c r="H132" s="14"/>
      <c r="I132" s="14" t="s">
        <v>45</v>
      </c>
      <c r="J132" s="14">
        <v>0</v>
      </c>
      <c r="K132" s="13">
        <v>43077.1</v>
      </c>
      <c r="L132" s="13">
        <v>0</v>
      </c>
      <c r="M132" s="13">
        <v>0</v>
      </c>
      <c r="N132" s="13">
        <v>0</v>
      </c>
      <c r="O132" s="76">
        <v>43077.1</v>
      </c>
      <c r="P132" s="81" t="s">
        <v>272</v>
      </c>
      <c r="Q132" s="123">
        <v>132</v>
      </c>
      <c r="R132" s="13"/>
      <c r="S132" s="13"/>
      <c r="T132" s="13">
        <f>LISTA[[#This Row],[VALOR FINAL]]+LISTA[[#This Row],[TARIFA IN]]+LISTA[[#This Row],[TARIFA OUT ]]</f>
        <v>43077.1</v>
      </c>
    </row>
    <row r="133" spans="1:20" x14ac:dyDescent="0.2">
      <c r="A133" s="201" t="s">
        <v>15</v>
      </c>
      <c r="B133" s="190">
        <v>44874</v>
      </c>
      <c r="C133" s="14" t="s">
        <v>42</v>
      </c>
      <c r="D133" s="14" t="s">
        <v>286</v>
      </c>
      <c r="E133" s="14" t="s">
        <v>371</v>
      </c>
      <c r="F133" s="14" t="s">
        <v>39</v>
      </c>
      <c r="G133" s="14" t="s">
        <v>39</v>
      </c>
      <c r="H133" s="14"/>
      <c r="I133" s="14" t="s">
        <v>45</v>
      </c>
      <c r="J133" s="14">
        <v>0</v>
      </c>
      <c r="K133" s="13">
        <v>43077.1</v>
      </c>
      <c r="L133" s="13">
        <v>0</v>
      </c>
      <c r="M133" s="13">
        <v>0</v>
      </c>
      <c r="N133" s="13">
        <v>0</v>
      </c>
      <c r="O133" s="76">
        <v>43077.1</v>
      </c>
      <c r="P133" s="81" t="s">
        <v>272</v>
      </c>
      <c r="Q133" s="123">
        <v>133</v>
      </c>
      <c r="R133" s="13"/>
      <c r="S133" s="13"/>
      <c r="T133" s="13">
        <f>LISTA[[#This Row],[VALOR FINAL]]+LISTA[[#This Row],[TARIFA IN]]+LISTA[[#This Row],[TARIFA OUT ]]</f>
        <v>43077.1</v>
      </c>
    </row>
    <row r="134" spans="1:20" x14ac:dyDescent="0.2">
      <c r="A134" s="201" t="s">
        <v>82</v>
      </c>
      <c r="B134" s="203">
        <v>44880</v>
      </c>
      <c r="C134" s="14" t="s">
        <v>44</v>
      </c>
      <c r="D134" s="14">
        <v>6728</v>
      </c>
      <c r="E134" s="14" t="s">
        <v>146</v>
      </c>
      <c r="F134" s="14" t="s">
        <v>39</v>
      </c>
      <c r="G134" s="14" t="s">
        <v>39</v>
      </c>
      <c r="H134" s="14"/>
      <c r="I134" s="14" t="s">
        <v>45</v>
      </c>
      <c r="J134" s="14">
        <v>18925</v>
      </c>
      <c r="K134" s="13">
        <v>43077.1</v>
      </c>
      <c r="L134" s="13">
        <v>0</v>
      </c>
      <c r="M134" s="13">
        <v>0</v>
      </c>
      <c r="N134" s="13">
        <v>0</v>
      </c>
      <c r="O134" s="76">
        <v>43077.1</v>
      </c>
      <c r="P134" s="81" t="s">
        <v>272</v>
      </c>
      <c r="Q134" s="123">
        <v>134</v>
      </c>
      <c r="R134" s="13">
        <v>20920.073500000002</v>
      </c>
      <c r="S134" s="13">
        <v>0</v>
      </c>
      <c r="T134" s="13">
        <f>LISTA[[#This Row],[VALOR FINAL]]+LISTA[[#This Row],[TARIFA IN]]+LISTA[[#This Row],[TARIFA OUT ]]</f>
        <v>63997.173500000004</v>
      </c>
    </row>
    <row r="135" spans="1:20" x14ac:dyDescent="0.2">
      <c r="A135" s="201" t="s">
        <v>82</v>
      </c>
      <c r="B135" s="203">
        <v>44880</v>
      </c>
      <c r="C135" s="14" t="s">
        <v>187</v>
      </c>
      <c r="D135" s="14">
        <v>22165</v>
      </c>
      <c r="E135" s="14" t="s">
        <v>172</v>
      </c>
      <c r="F135" s="14" t="s">
        <v>39</v>
      </c>
      <c r="G135" s="14" t="s">
        <v>39</v>
      </c>
      <c r="H135" s="14"/>
      <c r="I135" s="14" t="s">
        <v>45</v>
      </c>
      <c r="J135" s="14">
        <v>2737</v>
      </c>
      <c r="K135" s="13">
        <v>43077.1</v>
      </c>
      <c r="L135" s="13">
        <v>0</v>
      </c>
      <c r="M135" s="13">
        <v>0</v>
      </c>
      <c r="N135" s="13">
        <v>0</v>
      </c>
      <c r="O135" s="76">
        <v>43077.1</v>
      </c>
      <c r="P135" s="81" t="s">
        <v>272</v>
      </c>
      <c r="Q135" s="123">
        <v>135</v>
      </c>
      <c r="R135" s="13">
        <v>3025.5345400000001</v>
      </c>
      <c r="S135" s="13">
        <v>0</v>
      </c>
      <c r="T135" s="13">
        <f>LISTA[[#This Row],[VALOR FINAL]]+LISTA[[#This Row],[TARIFA IN]]+LISTA[[#This Row],[TARIFA OUT ]]</f>
        <v>46102.634539999999</v>
      </c>
    </row>
    <row r="136" spans="1:20" x14ac:dyDescent="0.2">
      <c r="A136" s="201" t="s">
        <v>76</v>
      </c>
      <c r="B136" s="203">
        <v>44880</v>
      </c>
      <c r="C136" s="14" t="s">
        <v>187</v>
      </c>
      <c r="D136" s="14">
        <v>1639</v>
      </c>
      <c r="E136" s="14" t="s">
        <v>374</v>
      </c>
      <c r="F136" s="14" t="s">
        <v>39</v>
      </c>
      <c r="G136" s="14" t="s">
        <v>39</v>
      </c>
      <c r="H136" s="14"/>
      <c r="I136" s="14" t="s">
        <v>202</v>
      </c>
      <c r="J136" s="14">
        <v>3737.5</v>
      </c>
      <c r="K136" s="13">
        <v>43077.1</v>
      </c>
      <c r="L136" s="13">
        <v>0</v>
      </c>
      <c r="M136" s="13">
        <v>0</v>
      </c>
      <c r="N136" s="13">
        <v>0</v>
      </c>
      <c r="O136" s="76">
        <v>43077.1</v>
      </c>
      <c r="P136" s="81" t="s">
        <v>272</v>
      </c>
      <c r="Q136" s="123">
        <v>136</v>
      </c>
      <c r="R136" s="13">
        <v>0</v>
      </c>
      <c r="S136" s="13">
        <v>9235.8147375000008</v>
      </c>
      <c r="T136" s="13">
        <f>LISTA[[#This Row],[VALOR FINAL]]+LISTA[[#This Row],[TARIFA IN]]+LISTA[[#This Row],[TARIFA OUT ]]</f>
        <v>52312.914737500003</v>
      </c>
    </row>
    <row r="137" spans="1:20" x14ac:dyDescent="0.2">
      <c r="A137" s="13" t="s">
        <v>14</v>
      </c>
      <c r="B137" s="203">
        <v>44879</v>
      </c>
      <c r="C137" s="202" t="s">
        <v>89</v>
      </c>
      <c r="D137" s="14" t="s">
        <v>339</v>
      </c>
      <c r="E137" s="14" t="s">
        <v>340</v>
      </c>
      <c r="F137" s="14" t="s">
        <v>160</v>
      </c>
      <c r="G137" s="14" t="s">
        <v>97</v>
      </c>
      <c r="H137" s="14"/>
      <c r="I137" s="14" t="s">
        <v>341</v>
      </c>
      <c r="J137" s="14">
        <v>951.86</v>
      </c>
      <c r="K137" s="13">
        <v>0</v>
      </c>
      <c r="L137" s="13">
        <v>4778.34</v>
      </c>
      <c r="M137" s="13">
        <v>14887.09</v>
      </c>
      <c r="N137" s="13">
        <v>0</v>
      </c>
      <c r="O137" s="13">
        <v>19665.43</v>
      </c>
      <c r="P137" s="81" t="s">
        <v>272</v>
      </c>
      <c r="Q137" s="123">
        <v>113</v>
      </c>
      <c r="R137" s="13">
        <v>0</v>
      </c>
      <c r="S137" s="13">
        <v>2352.1612350600003</v>
      </c>
      <c r="T137" s="13">
        <f>LISTA[[#This Row],[VALOR FINAL]]+LISTA[[#This Row],[TARIFA IN]]+LISTA[[#This Row],[TARIFA OUT ]]</f>
        <v>22017.591235060001</v>
      </c>
    </row>
    <row r="138" spans="1:20" x14ac:dyDescent="0.2">
      <c r="A138" s="13" t="s">
        <v>14</v>
      </c>
      <c r="B138" s="203">
        <v>44879</v>
      </c>
      <c r="C138" s="202" t="s">
        <v>89</v>
      </c>
      <c r="D138" s="14" t="s">
        <v>342</v>
      </c>
      <c r="E138" s="14" t="s">
        <v>169</v>
      </c>
      <c r="F138" s="14" t="s">
        <v>170</v>
      </c>
      <c r="G138" s="14" t="s">
        <v>39</v>
      </c>
      <c r="H138" s="14"/>
      <c r="I138" s="14" t="s">
        <v>171</v>
      </c>
      <c r="J138" s="14">
        <v>953.3</v>
      </c>
      <c r="K138" s="13">
        <v>0</v>
      </c>
      <c r="L138" s="13">
        <v>4785.57</v>
      </c>
      <c r="M138" s="13">
        <v>0</v>
      </c>
      <c r="N138" s="13">
        <v>0</v>
      </c>
      <c r="O138" s="13">
        <v>4785.57</v>
      </c>
      <c r="P138" s="81" t="s">
        <v>272</v>
      </c>
      <c r="Q138" s="123">
        <v>114</v>
      </c>
      <c r="R138" s="13">
        <v>0</v>
      </c>
      <c r="S138" s="13">
        <v>2355.7196493000001</v>
      </c>
      <c r="T138" s="13">
        <f>LISTA[[#This Row],[VALOR FINAL]]+LISTA[[#This Row],[TARIFA IN]]+LISTA[[#This Row],[TARIFA OUT ]]</f>
        <v>7141.2896492999998</v>
      </c>
    </row>
    <row r="139" spans="1:20" x14ac:dyDescent="0.2">
      <c r="A139" s="13" t="s">
        <v>14</v>
      </c>
      <c r="B139" s="203">
        <v>44879</v>
      </c>
      <c r="C139" s="202" t="s">
        <v>91</v>
      </c>
      <c r="D139" s="14" t="s">
        <v>310</v>
      </c>
      <c r="E139" s="14" t="s">
        <v>311</v>
      </c>
      <c r="F139" s="14" t="s">
        <v>123</v>
      </c>
      <c r="G139" s="14" t="s">
        <v>39</v>
      </c>
      <c r="H139" s="14"/>
      <c r="I139" s="14" t="s">
        <v>312</v>
      </c>
      <c r="J139" s="14">
        <v>184.96</v>
      </c>
      <c r="K139" s="13">
        <v>0</v>
      </c>
      <c r="L139" s="13">
        <v>1036.48</v>
      </c>
      <c r="M139" s="13">
        <v>0</v>
      </c>
      <c r="N139" s="13">
        <v>0</v>
      </c>
      <c r="O139" s="76">
        <v>1036.48</v>
      </c>
      <c r="P139" s="81" t="s">
        <v>272</v>
      </c>
      <c r="Q139" s="123">
        <v>100</v>
      </c>
      <c r="R139" s="13">
        <v>0</v>
      </c>
      <c r="S139" s="13">
        <v>457.05854016000006</v>
      </c>
      <c r="T139" s="13">
        <f>LISTA[[#This Row],[VALOR FINAL]]+LISTA[[#This Row],[TARIFA IN]]+LISTA[[#This Row],[TARIFA OUT ]]</f>
        <v>1493.5385401600001</v>
      </c>
    </row>
    <row r="140" spans="1:20" x14ac:dyDescent="0.2">
      <c r="A140" s="13" t="s">
        <v>14</v>
      </c>
      <c r="B140" s="203">
        <v>44879</v>
      </c>
      <c r="C140" s="202" t="s">
        <v>89</v>
      </c>
      <c r="D140" s="14" t="s">
        <v>343</v>
      </c>
      <c r="E140" s="14" t="s">
        <v>188</v>
      </c>
      <c r="F140" s="14" t="s">
        <v>210</v>
      </c>
      <c r="G140" s="14" t="s">
        <v>97</v>
      </c>
      <c r="H140" s="14"/>
      <c r="I140" s="14" t="s">
        <v>344</v>
      </c>
      <c r="J140" s="14">
        <v>890.88</v>
      </c>
      <c r="K140" s="13">
        <v>0</v>
      </c>
      <c r="L140" s="13">
        <v>4472.22</v>
      </c>
      <c r="M140" s="13">
        <v>16490.189999999999</v>
      </c>
      <c r="N140" s="13">
        <v>0</v>
      </c>
      <c r="O140" s="13">
        <v>20962.41</v>
      </c>
      <c r="P140" s="81" t="s">
        <v>272</v>
      </c>
      <c r="Q140" s="123">
        <v>115</v>
      </c>
      <c r="R140" s="13">
        <v>0</v>
      </c>
      <c r="S140" s="13">
        <v>2201.4722764799999</v>
      </c>
      <c r="T140" s="13">
        <f>LISTA[[#This Row],[VALOR FINAL]]+LISTA[[#This Row],[TARIFA IN]]+LISTA[[#This Row],[TARIFA OUT ]]</f>
        <v>23163.882276479999</v>
      </c>
    </row>
    <row r="141" spans="1:20" x14ac:dyDescent="0.2">
      <c r="A141" s="13" t="s">
        <v>14</v>
      </c>
      <c r="B141" s="203">
        <v>44879</v>
      </c>
      <c r="C141" s="202" t="s">
        <v>148</v>
      </c>
      <c r="D141" s="14" t="s">
        <v>313</v>
      </c>
      <c r="E141" s="14" t="s">
        <v>314</v>
      </c>
      <c r="F141" s="14" t="s">
        <v>130</v>
      </c>
      <c r="G141" s="14" t="s">
        <v>97</v>
      </c>
      <c r="H141" s="14"/>
      <c r="I141" s="14" t="s">
        <v>315</v>
      </c>
      <c r="J141" s="14">
        <v>948</v>
      </c>
      <c r="K141" s="13">
        <v>0</v>
      </c>
      <c r="L141" s="13">
        <v>4758.96</v>
      </c>
      <c r="M141" s="13">
        <v>19585.68</v>
      </c>
      <c r="N141" s="13">
        <v>0</v>
      </c>
      <c r="O141" s="76">
        <v>24344.639999999999</v>
      </c>
      <c r="P141" s="81" t="s">
        <v>272</v>
      </c>
      <c r="Q141" s="123">
        <v>101</v>
      </c>
      <c r="R141" s="13">
        <v>0</v>
      </c>
      <c r="S141" s="13">
        <v>2342.6227080000003</v>
      </c>
      <c r="T141" s="13">
        <f>LISTA[[#This Row],[VALOR FINAL]]+LISTA[[#This Row],[TARIFA IN]]+LISTA[[#This Row],[TARIFA OUT ]]</f>
        <v>26687.262707999998</v>
      </c>
    </row>
    <row r="142" spans="1:20" x14ac:dyDescent="0.2">
      <c r="A142" s="13" t="s">
        <v>14</v>
      </c>
      <c r="B142" s="203">
        <v>44879</v>
      </c>
      <c r="C142" s="202" t="s">
        <v>148</v>
      </c>
      <c r="D142" s="14" t="s">
        <v>316</v>
      </c>
      <c r="E142" s="14" t="s">
        <v>297</v>
      </c>
      <c r="F142" s="14" t="s">
        <v>123</v>
      </c>
      <c r="G142" s="14" t="s">
        <v>39</v>
      </c>
      <c r="H142" s="14"/>
      <c r="I142" s="14" t="s">
        <v>298</v>
      </c>
      <c r="J142" s="14">
        <v>1160</v>
      </c>
      <c r="K142" s="13">
        <v>0</v>
      </c>
      <c r="L142" s="13">
        <f>LISTA[[#This Row],[KILOS]]*5.07</f>
        <v>5881.2000000000007</v>
      </c>
      <c r="M142" s="13">
        <v>0</v>
      </c>
      <c r="N142" s="13">
        <v>0</v>
      </c>
      <c r="O142" s="13">
        <f>LISTA[[#This Row],[KILOS]]*5.07</f>
        <v>5881.2000000000007</v>
      </c>
      <c r="P142" s="81" t="s">
        <v>272</v>
      </c>
      <c r="Q142" s="123">
        <v>102</v>
      </c>
      <c r="R142" s="13">
        <v>0</v>
      </c>
      <c r="S142" s="13">
        <v>2348.8005105000002</v>
      </c>
      <c r="T142" s="13">
        <f>LISTA[[#This Row],[VALOR FINAL]]+LISTA[[#This Row],[TARIFA IN]]+LISTA[[#This Row],[TARIFA OUT ]]</f>
        <v>8230.0005105000018</v>
      </c>
    </row>
    <row r="143" spans="1:20" x14ac:dyDescent="0.2">
      <c r="A143" s="13" t="s">
        <v>14</v>
      </c>
      <c r="B143" s="203">
        <v>44879</v>
      </c>
      <c r="C143" s="202" t="s">
        <v>148</v>
      </c>
      <c r="D143" s="14" t="s">
        <v>317</v>
      </c>
      <c r="E143" s="14" t="s">
        <v>311</v>
      </c>
      <c r="F143" s="14" t="s">
        <v>123</v>
      </c>
      <c r="G143" s="14" t="s">
        <v>39</v>
      </c>
      <c r="H143" s="14"/>
      <c r="I143" s="14" t="s">
        <v>312</v>
      </c>
      <c r="J143" s="14">
        <v>2844</v>
      </c>
      <c r="K143" s="13">
        <v>0</v>
      </c>
      <c r="L143" s="13">
        <v>14419.08</v>
      </c>
      <c r="M143" s="13">
        <v>0</v>
      </c>
      <c r="N143" s="13">
        <v>0</v>
      </c>
      <c r="O143" s="76">
        <v>14419.08</v>
      </c>
      <c r="P143" s="81" t="s">
        <v>272</v>
      </c>
      <c r="Q143" s="123">
        <v>103</v>
      </c>
      <c r="R143" s="13">
        <v>0</v>
      </c>
      <c r="S143" s="13">
        <v>7027.8681240000005</v>
      </c>
      <c r="T143" s="13">
        <f>LISTA[[#This Row],[VALOR FINAL]]+LISTA[[#This Row],[TARIFA IN]]+LISTA[[#This Row],[TARIFA OUT ]]</f>
        <v>21446.948124000002</v>
      </c>
    </row>
    <row r="144" spans="1:20" x14ac:dyDescent="0.2">
      <c r="A144" s="13" t="s">
        <v>14</v>
      </c>
      <c r="B144" s="203">
        <v>44879</v>
      </c>
      <c r="C144" s="202" t="s">
        <v>88</v>
      </c>
      <c r="D144" s="14" t="s">
        <v>355</v>
      </c>
      <c r="E144" s="14" t="s">
        <v>351</v>
      </c>
      <c r="F144" s="14" t="s">
        <v>123</v>
      </c>
      <c r="G144" s="14" t="s">
        <v>39</v>
      </c>
      <c r="H144" s="14"/>
      <c r="I144" s="14" t="s">
        <v>347</v>
      </c>
      <c r="J144" s="14">
        <v>948</v>
      </c>
      <c r="K144" s="13">
        <v>0</v>
      </c>
      <c r="L144" s="13">
        <v>4825.32</v>
      </c>
      <c r="M144" s="13">
        <v>0</v>
      </c>
      <c r="N144" s="13">
        <v>0</v>
      </c>
      <c r="O144" s="76">
        <v>4825.32</v>
      </c>
      <c r="P144" s="81" t="s">
        <v>272</v>
      </c>
      <c r="Q144" s="123">
        <v>121</v>
      </c>
      <c r="R144" s="13">
        <v>0</v>
      </c>
      <c r="S144" s="13">
        <v>2342.6227080000003</v>
      </c>
      <c r="T144" s="13">
        <f>LISTA[[#This Row],[VALOR FINAL]]+LISTA[[#This Row],[TARIFA IN]]+LISTA[[#This Row],[TARIFA OUT ]]</f>
        <v>7167.9427080000005</v>
      </c>
    </row>
    <row r="145" spans="1:20" x14ac:dyDescent="0.2">
      <c r="A145" s="13" t="s">
        <v>14</v>
      </c>
      <c r="B145" s="203">
        <v>44879</v>
      </c>
      <c r="C145" s="202" t="s">
        <v>148</v>
      </c>
      <c r="D145" s="14" t="s">
        <v>318</v>
      </c>
      <c r="E145" s="14" t="s">
        <v>314</v>
      </c>
      <c r="F145" s="14" t="s">
        <v>130</v>
      </c>
      <c r="G145" s="14" t="s">
        <v>97</v>
      </c>
      <c r="H145" s="14"/>
      <c r="I145" s="14" t="s">
        <v>319</v>
      </c>
      <c r="J145" s="14">
        <v>2844</v>
      </c>
      <c r="K145" s="13">
        <v>0</v>
      </c>
      <c r="L145" s="13">
        <v>14163.12</v>
      </c>
      <c r="M145" s="13">
        <v>57846.96</v>
      </c>
      <c r="N145" s="13">
        <v>0</v>
      </c>
      <c r="O145" s="76">
        <v>72010.080000000002</v>
      </c>
      <c r="P145" s="81" t="s">
        <v>272</v>
      </c>
      <c r="Q145" s="123">
        <v>104</v>
      </c>
      <c r="R145" s="13">
        <v>0</v>
      </c>
      <c r="S145" s="13">
        <v>7027.8681240000005</v>
      </c>
      <c r="T145" s="13">
        <f>LISTA[[#This Row],[VALOR FINAL]]+LISTA[[#This Row],[TARIFA IN]]+LISTA[[#This Row],[TARIFA OUT ]]</f>
        <v>79037.948124000002</v>
      </c>
    </row>
    <row r="146" spans="1:20" x14ac:dyDescent="0.2">
      <c r="A146" s="13" t="s">
        <v>14</v>
      </c>
      <c r="B146" s="203">
        <v>44879</v>
      </c>
      <c r="C146" s="202" t="s">
        <v>148</v>
      </c>
      <c r="D146" s="14" t="s">
        <v>320</v>
      </c>
      <c r="E146" s="14" t="s">
        <v>297</v>
      </c>
      <c r="F146" s="14" t="s">
        <v>123</v>
      </c>
      <c r="G146" s="14" t="s">
        <v>39</v>
      </c>
      <c r="H146" s="14"/>
      <c r="I146" s="14" t="s">
        <v>309</v>
      </c>
      <c r="J146" s="14">
        <v>948</v>
      </c>
      <c r="K146" s="13">
        <v>0</v>
      </c>
      <c r="L146" s="13">
        <v>4825.32</v>
      </c>
      <c r="M146" s="13">
        <v>0</v>
      </c>
      <c r="N146" s="13">
        <v>0</v>
      </c>
      <c r="O146" s="76">
        <v>4825.32</v>
      </c>
      <c r="P146" s="81" t="s">
        <v>272</v>
      </c>
      <c r="Q146" s="123">
        <v>105</v>
      </c>
      <c r="R146" s="13">
        <v>0</v>
      </c>
      <c r="S146" s="13">
        <v>2342.6227080000003</v>
      </c>
      <c r="T146" s="13">
        <f>LISTA[[#This Row],[VALOR FINAL]]+LISTA[[#This Row],[TARIFA IN]]+LISTA[[#This Row],[TARIFA OUT ]]</f>
        <v>7167.9427080000005</v>
      </c>
    </row>
    <row r="147" spans="1:20" x14ac:dyDescent="0.2">
      <c r="A147" s="13" t="s">
        <v>14</v>
      </c>
      <c r="B147" s="203">
        <v>44879</v>
      </c>
      <c r="C147" s="202" t="s">
        <v>148</v>
      </c>
      <c r="D147" s="14" t="s">
        <v>321</v>
      </c>
      <c r="E147" s="14" t="s">
        <v>314</v>
      </c>
      <c r="F147" s="14" t="s">
        <v>130</v>
      </c>
      <c r="G147" s="14" t="s">
        <v>97</v>
      </c>
      <c r="H147" s="14"/>
      <c r="I147" s="14" t="s">
        <v>315</v>
      </c>
      <c r="J147" s="14">
        <v>948</v>
      </c>
      <c r="K147" s="13">
        <v>0</v>
      </c>
      <c r="L147" s="13">
        <v>4758.96</v>
      </c>
      <c r="M147" s="13">
        <v>19585.68</v>
      </c>
      <c r="N147" s="13">
        <v>0</v>
      </c>
      <c r="O147" s="76">
        <v>24344.639999999999</v>
      </c>
      <c r="P147" s="81" t="s">
        <v>272</v>
      </c>
      <c r="Q147" s="123">
        <v>106</v>
      </c>
      <c r="R147" s="13">
        <v>0</v>
      </c>
      <c r="S147" s="13">
        <v>2342.6227080000003</v>
      </c>
      <c r="T147" s="13">
        <f>LISTA[[#This Row],[VALOR FINAL]]+LISTA[[#This Row],[TARIFA IN]]+LISTA[[#This Row],[TARIFA OUT ]]</f>
        <v>26687.262707999998</v>
      </c>
    </row>
    <row r="148" spans="1:20" x14ac:dyDescent="0.2">
      <c r="A148" s="13" t="s">
        <v>14</v>
      </c>
      <c r="B148" s="203">
        <v>44880</v>
      </c>
      <c r="C148" s="202" t="s">
        <v>91</v>
      </c>
      <c r="D148" s="14" t="s">
        <v>388</v>
      </c>
      <c r="E148" s="14" t="s">
        <v>389</v>
      </c>
      <c r="F148" s="14" t="s">
        <v>390</v>
      </c>
      <c r="G148" s="14" t="s">
        <v>39</v>
      </c>
      <c r="H148" s="14"/>
      <c r="I148" s="14" t="s">
        <v>391</v>
      </c>
      <c r="J148" s="14">
        <v>637.37</v>
      </c>
      <c r="K148" s="13">
        <v>0</v>
      </c>
      <c r="L148" s="13">
        <v>3199.6</v>
      </c>
      <c r="M148" s="13"/>
      <c r="N148" s="13">
        <v>0</v>
      </c>
      <c r="O148" s="76">
        <v>3199.6</v>
      </c>
      <c r="P148" s="81" t="s">
        <v>272</v>
      </c>
      <c r="Q148" s="123">
        <v>145</v>
      </c>
      <c r="R148" s="13">
        <v>0</v>
      </c>
      <c r="S148" s="13">
        <v>1575.0183917700001</v>
      </c>
      <c r="T148" s="13">
        <f>LISTA[[#This Row],[VALOR FINAL]]+LISTA[[#This Row],[TARIFA IN]]+LISTA[[#This Row],[TARIFA OUT ]]</f>
        <v>4774.61839177</v>
      </c>
    </row>
    <row r="149" spans="1:20" x14ac:dyDescent="0.2">
      <c r="A149" s="13" t="s">
        <v>14</v>
      </c>
      <c r="B149" s="203">
        <v>44880</v>
      </c>
      <c r="C149" s="202" t="s">
        <v>89</v>
      </c>
      <c r="D149" s="14" t="s">
        <v>402</v>
      </c>
      <c r="E149" s="14" t="s">
        <v>403</v>
      </c>
      <c r="F149" s="14" t="s">
        <v>421</v>
      </c>
      <c r="G149" s="14" t="s">
        <v>97</v>
      </c>
      <c r="H149" s="14"/>
      <c r="I149" s="14" t="s">
        <v>404</v>
      </c>
      <c r="J149" s="14">
        <v>485.85</v>
      </c>
      <c r="K149" s="13">
        <v>0</v>
      </c>
      <c r="L149" s="13">
        <f>LISTA[[#This Row],[KILOS]]*5.02</f>
        <v>2438.9670000000001</v>
      </c>
      <c r="M149" s="13">
        <v>13489.32</v>
      </c>
      <c r="N149" s="13">
        <v>0</v>
      </c>
      <c r="O149" s="76">
        <f>LISTA[[#This Row],[TARIFA CABA]]+LISTA[[#This Row],[TARIFA INTERIOR]]</f>
        <v>15928.287</v>
      </c>
      <c r="P149" s="81" t="s">
        <v>272</v>
      </c>
      <c r="Q149" s="123">
        <v>151</v>
      </c>
      <c r="R149" s="13">
        <v>0</v>
      </c>
      <c r="S149" s="13">
        <v>953.4820378500001</v>
      </c>
      <c r="T149" s="13">
        <f>LISTA[[#This Row],[VALOR FINAL]]+LISTA[[#This Row],[TARIFA IN]]+LISTA[[#This Row],[TARIFA OUT ]]</f>
        <v>16881.769037850001</v>
      </c>
    </row>
    <row r="150" spans="1:20" x14ac:dyDescent="0.2">
      <c r="A150" s="13" t="s">
        <v>14</v>
      </c>
      <c r="B150" s="203">
        <v>44880</v>
      </c>
      <c r="C150" s="202" t="s">
        <v>143</v>
      </c>
      <c r="D150" s="14" t="s">
        <v>378</v>
      </c>
      <c r="E150" s="14" t="s">
        <v>362</v>
      </c>
      <c r="F150" s="14" t="s">
        <v>363</v>
      </c>
      <c r="G150" s="14" t="s">
        <v>39</v>
      </c>
      <c r="H150" s="14"/>
      <c r="I150" s="14" t="s">
        <v>364</v>
      </c>
      <c r="J150" s="14">
        <v>1528.48</v>
      </c>
      <c r="K150" s="13">
        <v>0</v>
      </c>
      <c r="L150" s="13">
        <v>7611.83</v>
      </c>
      <c r="M150" s="13"/>
      <c r="N150" s="13">
        <v>0</v>
      </c>
      <c r="O150" s="76">
        <v>7611.83</v>
      </c>
      <c r="P150" s="81" t="s">
        <v>272</v>
      </c>
      <c r="Q150" s="123">
        <v>139</v>
      </c>
      <c r="R150" s="13">
        <v>0</v>
      </c>
      <c r="S150" s="13">
        <v>3777.0590260800004</v>
      </c>
      <c r="T150" s="13">
        <f>LISTA[[#This Row],[VALOR FINAL]]+LISTA[[#This Row],[TARIFA IN]]+LISTA[[#This Row],[TARIFA OUT ]]</f>
        <v>11388.88902608</v>
      </c>
    </row>
    <row r="151" spans="1:20" x14ac:dyDescent="0.2">
      <c r="A151" s="13" t="s">
        <v>14</v>
      </c>
      <c r="B151" s="203">
        <v>44880</v>
      </c>
      <c r="C151" s="202" t="s">
        <v>143</v>
      </c>
      <c r="D151" s="14" t="s">
        <v>379</v>
      </c>
      <c r="E151" s="14" t="s">
        <v>362</v>
      </c>
      <c r="F151" s="14" t="s">
        <v>363</v>
      </c>
      <c r="G151" s="14" t="s">
        <v>39</v>
      </c>
      <c r="H151" s="14"/>
      <c r="I151" s="14" t="s">
        <v>364</v>
      </c>
      <c r="J151" s="14">
        <v>150.4</v>
      </c>
      <c r="K151" s="13">
        <v>0</v>
      </c>
      <c r="L151" s="13">
        <v>1021.38</v>
      </c>
      <c r="M151" s="13"/>
      <c r="N151" s="13">
        <v>0</v>
      </c>
      <c r="O151" s="76">
        <v>1021.38</v>
      </c>
      <c r="P151" s="81" t="s">
        <v>272</v>
      </c>
      <c r="Q151" s="123">
        <v>140</v>
      </c>
      <c r="R151" s="13">
        <v>0</v>
      </c>
      <c r="S151" s="13">
        <v>371.65659840000001</v>
      </c>
      <c r="T151" s="13">
        <f>LISTA[[#This Row],[VALOR FINAL]]+LISTA[[#This Row],[TARIFA IN]]+LISTA[[#This Row],[TARIFA OUT ]]</f>
        <v>1393.0365984</v>
      </c>
    </row>
    <row r="152" spans="1:20" x14ac:dyDescent="0.2">
      <c r="A152" s="13" t="s">
        <v>14</v>
      </c>
      <c r="B152" s="203">
        <v>44880</v>
      </c>
      <c r="C152" s="202" t="s">
        <v>91</v>
      </c>
      <c r="D152" s="14" t="s">
        <v>392</v>
      </c>
      <c r="E152" s="14" t="s">
        <v>367</v>
      </c>
      <c r="F152" s="14" t="s">
        <v>147</v>
      </c>
      <c r="G152" s="14" t="s">
        <v>39</v>
      </c>
      <c r="H152" s="14"/>
      <c r="I152" s="14" t="s">
        <v>368</v>
      </c>
      <c r="J152" s="14">
        <v>388.68</v>
      </c>
      <c r="K152" s="13">
        <v>0</v>
      </c>
      <c r="L152" s="13">
        <v>1951.17</v>
      </c>
      <c r="M152" s="13"/>
      <c r="N152" s="13">
        <v>0</v>
      </c>
      <c r="O152" s="76">
        <v>1951.17</v>
      </c>
      <c r="P152" s="81" t="s">
        <v>272</v>
      </c>
      <c r="Q152" s="123">
        <v>146</v>
      </c>
      <c r="R152" s="13">
        <v>0</v>
      </c>
      <c r="S152" s="13">
        <v>960.47531028000003</v>
      </c>
      <c r="T152" s="13">
        <f>LISTA[[#This Row],[VALOR FINAL]]+LISTA[[#This Row],[TARIFA IN]]+LISTA[[#This Row],[TARIFA OUT ]]</f>
        <v>2911.6453102800001</v>
      </c>
    </row>
    <row r="153" spans="1:20" x14ac:dyDescent="0.2">
      <c r="A153" s="13" t="s">
        <v>14</v>
      </c>
      <c r="B153" s="203">
        <v>44884</v>
      </c>
      <c r="C153" s="202" t="s">
        <v>44</v>
      </c>
      <c r="D153" s="14" t="s">
        <v>594</v>
      </c>
      <c r="E153" s="14" t="s">
        <v>590</v>
      </c>
      <c r="F153" s="14" t="s">
        <v>123</v>
      </c>
      <c r="G153" s="14" t="s">
        <v>39</v>
      </c>
      <c r="H153" s="14"/>
      <c r="I153" s="14" t="s">
        <v>591</v>
      </c>
      <c r="J153" s="14">
        <v>458.66</v>
      </c>
      <c r="K153" s="13">
        <v>0</v>
      </c>
      <c r="L153" s="13">
        <v>2302.4699999999998</v>
      </c>
      <c r="M153" s="13">
        <v>0</v>
      </c>
      <c r="N153" s="13">
        <v>0</v>
      </c>
      <c r="O153" s="76">
        <v>2302.4699999999998</v>
      </c>
      <c r="P153" s="81" t="s">
        <v>272</v>
      </c>
      <c r="Q153" s="123">
        <v>284</v>
      </c>
      <c r="R153" s="13"/>
      <c r="S153" s="13"/>
      <c r="T153" s="13">
        <f>LISTA[[#This Row],[VALOR FINAL]]+LISTA[[#This Row],[TARIFA IN]]+LISTA[[#This Row],[TARIFA OUT ]]</f>
        <v>2302.4699999999998</v>
      </c>
    </row>
    <row r="154" spans="1:20" x14ac:dyDescent="0.2">
      <c r="A154" s="13" t="s">
        <v>14</v>
      </c>
      <c r="B154" s="203">
        <v>44884</v>
      </c>
      <c r="C154" s="202" t="s">
        <v>44</v>
      </c>
      <c r="D154" s="14" t="s">
        <v>595</v>
      </c>
      <c r="E154" s="14" t="s">
        <v>590</v>
      </c>
      <c r="F154" s="14" t="s">
        <v>123</v>
      </c>
      <c r="G154" s="14" t="s">
        <v>39</v>
      </c>
      <c r="H154" s="14"/>
      <c r="I154" s="14" t="s">
        <v>591</v>
      </c>
      <c r="J154" s="14">
        <v>2923.02</v>
      </c>
      <c r="K154" s="13">
        <v>0</v>
      </c>
      <c r="L154" s="13">
        <v>14556.64</v>
      </c>
      <c r="M154" s="13">
        <v>0</v>
      </c>
      <c r="N154" s="13">
        <v>0</v>
      </c>
      <c r="O154" s="76">
        <v>14556.64</v>
      </c>
      <c r="P154" s="81" t="s">
        <v>272</v>
      </c>
      <c r="Q154" s="123">
        <v>285</v>
      </c>
      <c r="R154" s="13"/>
      <c r="S154" s="13"/>
      <c r="T154" s="13">
        <f>LISTA[[#This Row],[VALOR FINAL]]+LISTA[[#This Row],[TARIFA IN]]+LISTA[[#This Row],[TARIFA OUT ]]</f>
        <v>14556.64</v>
      </c>
    </row>
    <row r="155" spans="1:20" x14ac:dyDescent="0.2">
      <c r="A155" s="13" t="s">
        <v>14</v>
      </c>
      <c r="B155" s="203">
        <v>44884</v>
      </c>
      <c r="C155" s="202" t="s">
        <v>44</v>
      </c>
      <c r="D155" s="14" t="s">
        <v>596</v>
      </c>
      <c r="E155" s="14" t="s">
        <v>590</v>
      </c>
      <c r="F155" s="14" t="s">
        <v>123</v>
      </c>
      <c r="G155" s="14" t="s">
        <v>39</v>
      </c>
      <c r="H155" s="14"/>
      <c r="I155" s="14" t="s">
        <v>591</v>
      </c>
      <c r="J155" s="14">
        <v>1825.1</v>
      </c>
      <c r="K155" s="13">
        <v>0</v>
      </c>
      <c r="L155" s="13">
        <v>9089</v>
      </c>
      <c r="M155" s="13">
        <v>0</v>
      </c>
      <c r="N155" s="13">
        <v>0</v>
      </c>
      <c r="O155" s="76">
        <v>9089</v>
      </c>
      <c r="P155" s="81" t="s">
        <v>272</v>
      </c>
      <c r="Q155" s="123">
        <v>286</v>
      </c>
      <c r="R155" s="13"/>
      <c r="S155" s="13"/>
      <c r="T155" s="13">
        <f>LISTA[[#This Row],[VALOR FINAL]]+LISTA[[#This Row],[TARIFA IN]]+LISTA[[#This Row],[TARIFA OUT ]]</f>
        <v>9089</v>
      </c>
    </row>
    <row r="156" spans="1:20" x14ac:dyDescent="0.2">
      <c r="A156" s="13" t="s">
        <v>14</v>
      </c>
      <c r="B156" s="203">
        <v>44880</v>
      </c>
      <c r="C156" s="202" t="s">
        <v>148</v>
      </c>
      <c r="D156" s="14" t="s">
        <v>375</v>
      </c>
      <c r="E156" s="14" t="s">
        <v>346</v>
      </c>
      <c r="F156" s="14" t="s">
        <v>123</v>
      </c>
      <c r="G156" s="14" t="s">
        <v>39</v>
      </c>
      <c r="H156" s="14"/>
      <c r="I156" s="14" t="s">
        <v>376</v>
      </c>
      <c r="J156" s="14">
        <v>7106.94</v>
      </c>
      <c r="K156" s="13">
        <v>0</v>
      </c>
      <c r="L156" s="13">
        <f>+LISTA[[#This Row],[KILOS]]*3.29</f>
        <v>23381.832599999998</v>
      </c>
      <c r="M156" s="13">
        <v>0</v>
      </c>
      <c r="N156" s="13">
        <v>0</v>
      </c>
      <c r="O156" s="76">
        <f>+LISTA[[#This Row],[KILOS]]*3.29</f>
        <v>23381.832599999998</v>
      </c>
      <c r="P156" s="81" t="s">
        <v>272</v>
      </c>
      <c r="Q156" s="123">
        <v>138</v>
      </c>
      <c r="R156" s="13">
        <v>0</v>
      </c>
      <c r="S156" s="13">
        <v>17562.108679739998</v>
      </c>
      <c r="T156" s="13">
        <f>LISTA[[#This Row],[VALOR FINAL]]+LISTA[[#This Row],[TARIFA IN]]+LISTA[[#This Row],[TARIFA OUT ]]</f>
        <v>40943.94127974</v>
      </c>
    </row>
    <row r="157" spans="1:20" x14ac:dyDescent="0.2">
      <c r="A157" s="13" t="s">
        <v>14</v>
      </c>
      <c r="B157" s="203">
        <v>44880</v>
      </c>
      <c r="C157" s="202" t="s">
        <v>148</v>
      </c>
      <c r="D157" s="14" t="s">
        <v>377</v>
      </c>
      <c r="E157" s="14" t="s">
        <v>346</v>
      </c>
      <c r="F157" s="14" t="s">
        <v>123</v>
      </c>
      <c r="G157" s="14" t="s">
        <v>39</v>
      </c>
      <c r="H157" s="14"/>
      <c r="I157" s="14" t="s">
        <v>376</v>
      </c>
      <c r="J157" s="14">
        <v>3347.04</v>
      </c>
      <c r="K157" s="13">
        <v>0</v>
      </c>
      <c r="L157" s="13">
        <f>+LISTA[[#This Row],[KILOS]]*5.07</f>
        <v>16969.4928</v>
      </c>
      <c r="M157" s="13">
        <v>0</v>
      </c>
      <c r="N157" s="13">
        <v>0</v>
      </c>
      <c r="O157" s="76">
        <f>+LISTA[[#This Row],[KILOS]]*5.07</f>
        <v>16969.4928</v>
      </c>
      <c r="P157" s="81" t="s">
        <v>272</v>
      </c>
      <c r="Q157" s="123">
        <v>137</v>
      </c>
      <c r="R157" s="13">
        <v>0</v>
      </c>
      <c r="S157" s="13">
        <v>8270.9408318400001</v>
      </c>
      <c r="T157" s="13">
        <f>LISTA[[#This Row],[VALOR FINAL]]+LISTA[[#This Row],[TARIFA IN]]+LISTA[[#This Row],[TARIFA OUT ]]</f>
        <v>25240.433631840002</v>
      </c>
    </row>
    <row r="158" spans="1:20" x14ac:dyDescent="0.2">
      <c r="A158" s="13" t="s">
        <v>14</v>
      </c>
      <c r="B158" s="203">
        <v>44880</v>
      </c>
      <c r="C158" s="202" t="s">
        <v>90</v>
      </c>
      <c r="D158" s="14" t="s">
        <v>440</v>
      </c>
      <c r="E158" s="14" t="s">
        <v>438</v>
      </c>
      <c r="F158" s="14" t="s">
        <v>123</v>
      </c>
      <c r="G158" s="14" t="s">
        <v>39</v>
      </c>
      <c r="H158" s="14"/>
      <c r="I158" s="14" t="s">
        <v>441</v>
      </c>
      <c r="J158" s="14">
        <v>5566.7</v>
      </c>
      <c r="K158" s="13">
        <v>0</v>
      </c>
      <c r="L158" s="13">
        <v>28223.17</v>
      </c>
      <c r="M158" s="13"/>
      <c r="N158" s="13">
        <v>0</v>
      </c>
      <c r="O158" s="76">
        <v>28223.17</v>
      </c>
      <c r="P158" s="81" t="s">
        <v>272</v>
      </c>
      <c r="Q158" s="123">
        <v>169</v>
      </c>
      <c r="R158" s="13">
        <v>0</v>
      </c>
      <c r="S158" s="13">
        <v>13755.9892707</v>
      </c>
      <c r="T158" s="13">
        <f>LISTA[[#This Row],[VALOR FINAL]]+LISTA[[#This Row],[TARIFA IN]]+LISTA[[#This Row],[TARIFA OUT ]]</f>
        <v>41979.159270699995</v>
      </c>
    </row>
    <row r="159" spans="1:20" x14ac:dyDescent="0.2">
      <c r="A159" s="13" t="s">
        <v>14</v>
      </c>
      <c r="B159" s="203">
        <v>44881</v>
      </c>
      <c r="C159" s="202" t="s">
        <v>48</v>
      </c>
      <c r="D159" s="14" t="s">
        <v>452</v>
      </c>
      <c r="E159" s="14" t="s">
        <v>323</v>
      </c>
      <c r="F159" s="14" t="s">
        <v>123</v>
      </c>
      <c r="G159" s="14" t="s">
        <v>39</v>
      </c>
      <c r="H159" s="14"/>
      <c r="I159" s="14" t="s">
        <v>324</v>
      </c>
      <c r="J159" s="14">
        <v>2073.7399999999998</v>
      </c>
      <c r="K159" s="13">
        <v>0</v>
      </c>
      <c r="L159" s="13">
        <f>+LISTA[[#This Row],[KILOS]]*9.87</f>
        <v>20467.813799999996</v>
      </c>
      <c r="M159" s="13">
        <v>0</v>
      </c>
      <c r="N159" s="13">
        <v>0</v>
      </c>
      <c r="O159" s="76">
        <f>+LISTA[[#This Row],[KILOS]]*9.87</f>
        <v>20467.813799999996</v>
      </c>
      <c r="P159" s="81" t="s">
        <v>272</v>
      </c>
      <c r="Q159" s="123">
        <v>177</v>
      </c>
      <c r="R159" s="13">
        <v>0</v>
      </c>
      <c r="S159" s="13">
        <v>5124.4624625400002</v>
      </c>
      <c r="T159" s="13">
        <f>LISTA[[#This Row],[VALOR FINAL]]+LISTA[[#This Row],[TARIFA IN]]+LISTA[[#This Row],[TARIFA OUT ]]</f>
        <v>25592.276262539996</v>
      </c>
    </row>
    <row r="160" spans="1:20" x14ac:dyDescent="0.2">
      <c r="A160" s="13" t="s">
        <v>14</v>
      </c>
      <c r="B160" s="203">
        <v>44880</v>
      </c>
      <c r="C160" s="202" t="s">
        <v>143</v>
      </c>
      <c r="D160" s="14" t="s">
        <v>380</v>
      </c>
      <c r="E160" s="14" t="s">
        <v>300</v>
      </c>
      <c r="F160" s="14" t="s">
        <v>301</v>
      </c>
      <c r="G160" s="14" t="s">
        <v>39</v>
      </c>
      <c r="H160" s="14"/>
      <c r="I160" s="14" t="s">
        <v>302</v>
      </c>
      <c r="J160" s="14">
        <v>2644.23</v>
      </c>
      <c r="K160" s="13">
        <v>0</v>
      </c>
      <c r="L160" s="13">
        <v>13168.27</v>
      </c>
      <c r="M160" s="13"/>
      <c r="N160" s="13">
        <v>0</v>
      </c>
      <c r="O160" s="76">
        <v>13168.27</v>
      </c>
      <c r="P160" s="81" t="s">
        <v>272</v>
      </c>
      <c r="Q160" s="123">
        <v>141</v>
      </c>
      <c r="R160" s="13">
        <v>0</v>
      </c>
      <c r="S160" s="13">
        <v>6534.2122818300004</v>
      </c>
      <c r="T160" s="13">
        <f>LISTA[[#This Row],[VALOR FINAL]]+LISTA[[#This Row],[TARIFA IN]]+LISTA[[#This Row],[TARIFA OUT ]]</f>
        <v>19702.482281830002</v>
      </c>
    </row>
    <row r="161" spans="1:20" x14ac:dyDescent="0.2">
      <c r="A161" s="13" t="s">
        <v>14</v>
      </c>
      <c r="B161" s="203">
        <v>44880</v>
      </c>
      <c r="C161" s="202" t="s">
        <v>143</v>
      </c>
      <c r="D161" s="14" t="s">
        <v>381</v>
      </c>
      <c r="E161" s="14" t="s">
        <v>196</v>
      </c>
      <c r="F161" s="14" t="s">
        <v>197</v>
      </c>
      <c r="G161" s="14" t="s">
        <v>39</v>
      </c>
      <c r="H161" s="14"/>
      <c r="I161" s="14" t="s">
        <v>165</v>
      </c>
      <c r="J161" s="14">
        <v>1530.4</v>
      </c>
      <c r="K161" s="13">
        <v>0</v>
      </c>
      <c r="L161" s="13">
        <v>7621.39</v>
      </c>
      <c r="M161" s="13"/>
      <c r="N161" s="13">
        <v>0</v>
      </c>
      <c r="O161" s="76">
        <v>7621.39</v>
      </c>
      <c r="P161" s="81" t="s">
        <v>272</v>
      </c>
      <c r="Q161" s="123">
        <v>142</v>
      </c>
      <c r="R161" s="13">
        <v>0</v>
      </c>
      <c r="S161" s="13">
        <v>3781.8035784000003</v>
      </c>
      <c r="T161" s="13">
        <f>LISTA[[#This Row],[VALOR FINAL]]+LISTA[[#This Row],[TARIFA IN]]+LISTA[[#This Row],[TARIFA OUT ]]</f>
        <v>11403.193578400002</v>
      </c>
    </row>
    <row r="162" spans="1:20" x14ac:dyDescent="0.2">
      <c r="A162" s="13" t="s">
        <v>14</v>
      </c>
      <c r="B162" s="203">
        <v>44880</v>
      </c>
      <c r="C162" s="202" t="s">
        <v>44</v>
      </c>
      <c r="D162" s="14" t="s">
        <v>422</v>
      </c>
      <c r="E162" s="14" t="s">
        <v>423</v>
      </c>
      <c r="F162" s="14" t="s">
        <v>424</v>
      </c>
      <c r="G162" s="14" t="s">
        <v>39</v>
      </c>
      <c r="H162" s="14"/>
      <c r="I162" s="14" t="s">
        <v>328</v>
      </c>
      <c r="J162" s="14">
        <v>6543.62</v>
      </c>
      <c r="K162" s="13">
        <v>0</v>
      </c>
      <c r="L162" s="13">
        <v>21135.89</v>
      </c>
      <c r="M162" s="13"/>
      <c r="N162" s="13">
        <v>0</v>
      </c>
      <c r="O162" s="76">
        <v>21135.89</v>
      </c>
      <c r="P162" s="81" t="s">
        <v>272</v>
      </c>
      <c r="Q162" s="123">
        <v>160</v>
      </c>
      <c r="R162" s="13">
        <v>0</v>
      </c>
      <c r="S162" s="13">
        <v>16170.07679802</v>
      </c>
      <c r="T162" s="13">
        <f>LISTA[[#This Row],[VALOR FINAL]]+LISTA[[#This Row],[TARIFA IN]]+LISTA[[#This Row],[TARIFA OUT ]]</f>
        <v>37305.966798020003</v>
      </c>
    </row>
    <row r="163" spans="1:20" x14ac:dyDescent="0.2">
      <c r="A163" s="13" t="s">
        <v>14</v>
      </c>
      <c r="B163" s="203">
        <v>44880</v>
      </c>
      <c r="C163" s="202" t="s">
        <v>44</v>
      </c>
      <c r="D163" s="14" t="s">
        <v>425</v>
      </c>
      <c r="E163" s="14" t="s">
        <v>423</v>
      </c>
      <c r="F163" s="14" t="s">
        <v>424</v>
      </c>
      <c r="G163" s="14" t="s">
        <v>39</v>
      </c>
      <c r="H163" s="14"/>
      <c r="I163" s="14" t="s">
        <v>328</v>
      </c>
      <c r="J163" s="14">
        <v>401</v>
      </c>
      <c r="K163" s="13">
        <v>0</v>
      </c>
      <c r="L163" s="13">
        <v>2013.02</v>
      </c>
      <c r="M163" s="13"/>
      <c r="N163" s="13">
        <v>0</v>
      </c>
      <c r="O163" s="76">
        <v>2013.02</v>
      </c>
      <c r="P163" s="81" t="s">
        <v>272</v>
      </c>
      <c r="Q163" s="123">
        <v>161</v>
      </c>
      <c r="R163" s="13">
        <v>0</v>
      </c>
      <c r="S163" s="13">
        <v>990.91952100000003</v>
      </c>
      <c r="T163" s="13">
        <f>LISTA[[#This Row],[VALOR FINAL]]+LISTA[[#This Row],[TARIFA IN]]+LISTA[[#This Row],[TARIFA OUT ]]</f>
        <v>3003.9395210000002</v>
      </c>
    </row>
    <row r="164" spans="1:20" x14ac:dyDescent="0.2">
      <c r="A164" s="13" t="s">
        <v>14</v>
      </c>
      <c r="B164" s="203">
        <v>44880</v>
      </c>
      <c r="C164" s="202" t="s">
        <v>44</v>
      </c>
      <c r="D164" s="14" t="s">
        <v>426</v>
      </c>
      <c r="E164" s="14" t="s">
        <v>423</v>
      </c>
      <c r="F164" s="14" t="s">
        <v>424</v>
      </c>
      <c r="G164" s="14" t="s">
        <v>39</v>
      </c>
      <c r="H164" s="14"/>
      <c r="I164" s="14" t="s">
        <v>328</v>
      </c>
      <c r="J164" s="14">
        <v>657.94</v>
      </c>
      <c r="K164" s="13">
        <v>0</v>
      </c>
      <c r="L164" s="13">
        <v>3302.86</v>
      </c>
      <c r="M164" s="13"/>
      <c r="N164" s="13">
        <v>0</v>
      </c>
      <c r="O164" s="76">
        <v>3302.86</v>
      </c>
      <c r="P164" s="81" t="s">
        <v>272</v>
      </c>
      <c r="Q164" s="123">
        <v>162</v>
      </c>
      <c r="R164" s="13">
        <v>0</v>
      </c>
      <c r="S164" s="13">
        <v>1625.8493507400003</v>
      </c>
      <c r="T164" s="13">
        <f>LISTA[[#This Row],[VALOR FINAL]]+LISTA[[#This Row],[TARIFA IN]]+LISTA[[#This Row],[TARIFA OUT ]]</f>
        <v>4928.7093507400004</v>
      </c>
    </row>
    <row r="165" spans="1:20" x14ac:dyDescent="0.2">
      <c r="A165" s="13" t="s">
        <v>14</v>
      </c>
      <c r="B165" s="203">
        <v>44880</v>
      </c>
      <c r="C165" s="202" t="s">
        <v>91</v>
      </c>
      <c r="D165" s="14" t="s">
        <v>393</v>
      </c>
      <c r="E165" s="14" t="s">
        <v>394</v>
      </c>
      <c r="F165" s="14" t="s">
        <v>395</v>
      </c>
      <c r="G165" s="14" t="s">
        <v>39</v>
      </c>
      <c r="H165" s="14"/>
      <c r="I165" s="14" t="s">
        <v>167</v>
      </c>
      <c r="J165" s="14">
        <f>336.97+51</f>
        <v>387.97</v>
      </c>
      <c r="K165" s="13">
        <v>0</v>
      </c>
      <c r="L165" s="13">
        <f>LISTA[[#This Row],[KILOS]]*5.02</f>
        <v>1947.6094000000001</v>
      </c>
      <c r="M165" s="13"/>
      <c r="N165" s="13">
        <v>0</v>
      </c>
      <c r="O165" s="13">
        <f>LISTA[[#This Row],[KILOS]]*5.02</f>
        <v>1947.6094000000001</v>
      </c>
      <c r="P165" s="81" t="s">
        <v>272</v>
      </c>
      <c r="Q165" s="123">
        <v>147</v>
      </c>
      <c r="R165" s="13">
        <v>0</v>
      </c>
      <c r="S165" s="13">
        <v>832.69364337000013</v>
      </c>
      <c r="T165" s="13">
        <f>LISTA[[#This Row],[VALOR FINAL]]+LISTA[[#This Row],[TARIFA IN]]+LISTA[[#This Row],[TARIFA OUT ]]</f>
        <v>2780.3030433700001</v>
      </c>
    </row>
    <row r="166" spans="1:20" x14ac:dyDescent="0.2">
      <c r="A166" s="13" t="s">
        <v>14</v>
      </c>
      <c r="B166" s="203">
        <v>44881</v>
      </c>
      <c r="C166" s="202" t="s">
        <v>38</v>
      </c>
      <c r="D166" s="14" t="s">
        <v>515</v>
      </c>
      <c r="E166" s="14" t="s">
        <v>357</v>
      </c>
      <c r="F166" s="14" t="s">
        <v>123</v>
      </c>
      <c r="G166" s="14" t="s">
        <v>39</v>
      </c>
      <c r="H166" s="14"/>
      <c r="I166" s="14" t="s">
        <v>516</v>
      </c>
      <c r="J166" s="14">
        <v>7798.2</v>
      </c>
      <c r="K166" s="13">
        <v>0</v>
      </c>
      <c r="L166" s="13">
        <v>39536.870000000003</v>
      </c>
      <c r="M166" s="13">
        <v>0</v>
      </c>
      <c r="N166" s="13">
        <v>0</v>
      </c>
      <c r="O166" s="76">
        <v>39536.870000000003</v>
      </c>
      <c r="P166" s="81" t="s">
        <v>272</v>
      </c>
      <c r="Q166" s="123">
        <v>214</v>
      </c>
      <c r="R166" s="13">
        <v>0</v>
      </c>
      <c r="S166" s="13">
        <v>19270.295782199999</v>
      </c>
      <c r="T166" s="13">
        <f>LISTA[[#This Row],[VALOR FINAL]]+LISTA[[#This Row],[TARIFA IN]]+LISTA[[#This Row],[TARIFA OUT ]]</f>
        <v>58807.165782199998</v>
      </c>
    </row>
    <row r="167" spans="1:20" x14ac:dyDescent="0.2">
      <c r="A167" s="13" t="s">
        <v>14</v>
      </c>
      <c r="B167" s="203">
        <v>44881</v>
      </c>
      <c r="C167" s="202" t="s">
        <v>38</v>
      </c>
      <c r="D167" s="14" t="s">
        <v>517</v>
      </c>
      <c r="E167" s="14" t="s">
        <v>357</v>
      </c>
      <c r="F167" s="14" t="s">
        <v>123</v>
      </c>
      <c r="G167" s="14" t="s">
        <v>39</v>
      </c>
      <c r="H167" s="14"/>
      <c r="I167" s="14" t="s">
        <v>516</v>
      </c>
      <c r="J167" s="14">
        <v>1051</v>
      </c>
      <c r="K167" s="13">
        <v>0</v>
      </c>
      <c r="L167" s="13">
        <v>5349.59</v>
      </c>
      <c r="M167" s="13">
        <v>0</v>
      </c>
      <c r="N167" s="13">
        <v>0</v>
      </c>
      <c r="O167" s="76">
        <v>5349.59</v>
      </c>
      <c r="P167" s="81" t="s">
        <v>272</v>
      </c>
      <c r="Q167" s="123">
        <v>215</v>
      </c>
      <c r="R167" s="13">
        <v>0</v>
      </c>
      <c r="S167" s="13">
        <v>2597.1481710000003</v>
      </c>
      <c r="T167" s="13">
        <f>LISTA[[#This Row],[VALOR FINAL]]+LISTA[[#This Row],[TARIFA IN]]+LISTA[[#This Row],[TARIFA OUT ]]</f>
        <v>7946.7381710000009</v>
      </c>
    </row>
    <row r="168" spans="1:20" x14ac:dyDescent="0.2">
      <c r="A168" s="13" t="s">
        <v>14</v>
      </c>
      <c r="B168" s="203">
        <v>44881</v>
      </c>
      <c r="C168" s="202" t="s">
        <v>38</v>
      </c>
      <c r="D168" s="14" t="s">
        <v>518</v>
      </c>
      <c r="E168" s="14" t="s">
        <v>357</v>
      </c>
      <c r="F168" s="14" t="s">
        <v>123</v>
      </c>
      <c r="G168" s="14" t="s">
        <v>39</v>
      </c>
      <c r="H168" s="14"/>
      <c r="I168" s="14" t="s">
        <v>516</v>
      </c>
      <c r="J168" s="14">
        <v>3190.55</v>
      </c>
      <c r="K168" s="13">
        <v>0</v>
      </c>
      <c r="L168" s="13">
        <v>16239.9</v>
      </c>
      <c r="M168" s="13">
        <v>0</v>
      </c>
      <c r="N168" s="13">
        <v>0</v>
      </c>
      <c r="O168" s="76">
        <v>16239.9</v>
      </c>
      <c r="P168" s="81" t="s">
        <v>272</v>
      </c>
      <c r="Q168" s="123">
        <v>216</v>
      </c>
      <c r="R168" s="13">
        <v>0</v>
      </c>
      <c r="S168" s="13">
        <v>7884.2351065500006</v>
      </c>
      <c r="T168" s="13">
        <f>LISTA[[#This Row],[VALOR FINAL]]+LISTA[[#This Row],[TARIFA IN]]+LISTA[[#This Row],[TARIFA OUT ]]</f>
        <v>24124.135106549998</v>
      </c>
    </row>
    <row r="169" spans="1:20" x14ac:dyDescent="0.2">
      <c r="A169" s="13" t="s">
        <v>14</v>
      </c>
      <c r="B169" s="203">
        <v>44880</v>
      </c>
      <c r="C169" s="202" t="s">
        <v>89</v>
      </c>
      <c r="D169" s="14" t="s">
        <v>405</v>
      </c>
      <c r="E169" s="14" t="s">
        <v>406</v>
      </c>
      <c r="F169" s="14" t="s">
        <v>162</v>
      </c>
      <c r="G169" s="14" t="s">
        <v>97</v>
      </c>
      <c r="H169" s="14"/>
      <c r="I169" s="14" t="s">
        <v>407</v>
      </c>
      <c r="J169" s="14">
        <v>193.93</v>
      </c>
      <c r="K169" s="13">
        <v>0</v>
      </c>
      <c r="L169" s="13">
        <v>1021.38</v>
      </c>
      <c r="M169" s="13">
        <v>5022.79</v>
      </c>
      <c r="N169" s="13">
        <v>0</v>
      </c>
      <c r="O169" s="76">
        <v>6044.17</v>
      </c>
      <c r="P169" s="81" t="s">
        <v>272</v>
      </c>
      <c r="Q169" s="123">
        <v>152</v>
      </c>
      <c r="R169" s="13">
        <v>0</v>
      </c>
      <c r="S169" s="13">
        <v>479.22449553000001</v>
      </c>
      <c r="T169" s="13">
        <f>LISTA[[#This Row],[VALOR FINAL]]+LISTA[[#This Row],[TARIFA IN]]+LISTA[[#This Row],[TARIFA OUT ]]</f>
        <v>6523.3944955300003</v>
      </c>
    </row>
    <row r="170" spans="1:20" x14ac:dyDescent="0.2">
      <c r="A170" s="13" t="s">
        <v>14</v>
      </c>
      <c r="B170" s="203">
        <v>44880</v>
      </c>
      <c r="C170" s="202" t="s">
        <v>89</v>
      </c>
      <c r="D170" s="14" t="s">
        <v>408</v>
      </c>
      <c r="E170" s="14" t="s">
        <v>409</v>
      </c>
      <c r="F170" s="14" t="s">
        <v>210</v>
      </c>
      <c r="G170" s="14" t="s">
        <v>97</v>
      </c>
      <c r="H170" s="14"/>
      <c r="I170" s="14" t="s">
        <v>167</v>
      </c>
      <c r="J170" s="14">
        <v>387.86</v>
      </c>
      <c r="K170" s="13">
        <v>0</v>
      </c>
      <c r="L170" s="13">
        <v>1947.06</v>
      </c>
      <c r="M170" s="13">
        <v>8083</v>
      </c>
      <c r="N170" s="13">
        <v>0</v>
      </c>
      <c r="O170" s="76">
        <v>10030.06</v>
      </c>
      <c r="P170" s="81" t="s">
        <v>272</v>
      </c>
      <c r="Q170" s="123">
        <v>153</v>
      </c>
      <c r="R170" s="13">
        <v>0</v>
      </c>
      <c r="S170" s="13">
        <v>958.44899106000003</v>
      </c>
      <c r="T170" s="13">
        <f>LISTA[[#This Row],[VALOR FINAL]]+LISTA[[#This Row],[TARIFA IN]]+LISTA[[#This Row],[TARIFA OUT ]]</f>
        <v>10988.50899106</v>
      </c>
    </row>
    <row r="171" spans="1:20" x14ac:dyDescent="0.2">
      <c r="A171" s="13" t="s">
        <v>14</v>
      </c>
      <c r="B171" s="203">
        <v>44880</v>
      </c>
      <c r="C171" s="202" t="s">
        <v>89</v>
      </c>
      <c r="D171" s="14" t="s">
        <v>410</v>
      </c>
      <c r="E171" s="14" t="s">
        <v>409</v>
      </c>
      <c r="F171" s="14" t="s">
        <v>327</v>
      </c>
      <c r="G171" s="14" t="s">
        <v>97</v>
      </c>
      <c r="H171" s="14"/>
      <c r="I171" s="14" t="s">
        <v>328</v>
      </c>
      <c r="J171" s="14">
        <v>1156.81</v>
      </c>
      <c r="K171" s="13">
        <v>0</v>
      </c>
      <c r="L171" s="13">
        <v>5760.91</v>
      </c>
      <c r="M171" s="13">
        <v>18011.53</v>
      </c>
      <c r="N171" s="13">
        <v>0</v>
      </c>
      <c r="O171" s="76">
        <v>23772.45</v>
      </c>
      <c r="P171" s="81" t="s">
        <v>272</v>
      </c>
      <c r="Q171" s="123">
        <v>154</v>
      </c>
      <c r="R171" s="13">
        <v>0</v>
      </c>
      <c r="S171" s="13">
        <v>2858.6174840100002</v>
      </c>
      <c r="T171" s="13">
        <f>LISTA[[#This Row],[VALOR FINAL]]+LISTA[[#This Row],[TARIFA IN]]+LISTA[[#This Row],[TARIFA OUT ]]</f>
        <v>26631.06748401</v>
      </c>
    </row>
    <row r="172" spans="1:20" x14ac:dyDescent="0.2">
      <c r="A172" s="201" t="s">
        <v>184</v>
      </c>
      <c r="B172" s="203">
        <v>44881</v>
      </c>
      <c r="C172" s="14" t="s">
        <v>77</v>
      </c>
      <c r="D172" s="14">
        <v>78569</v>
      </c>
      <c r="E172" s="14" t="s">
        <v>273</v>
      </c>
      <c r="F172" s="14" t="s">
        <v>39</v>
      </c>
      <c r="G172" s="14" t="s">
        <v>39</v>
      </c>
      <c r="H172" s="14"/>
      <c r="I172" s="14" t="s">
        <v>444</v>
      </c>
      <c r="J172" s="14">
        <v>9400</v>
      </c>
      <c r="K172" s="13">
        <v>43077.1</v>
      </c>
      <c r="L172" s="13">
        <v>0</v>
      </c>
      <c r="M172" s="13">
        <v>0</v>
      </c>
      <c r="N172" s="13">
        <v>0</v>
      </c>
      <c r="O172" s="76">
        <v>43077.1</v>
      </c>
      <c r="P172" s="81" t="s">
        <v>272</v>
      </c>
      <c r="Q172" s="123">
        <v>172</v>
      </c>
      <c r="R172" s="13">
        <v>10390.948</v>
      </c>
      <c r="S172" s="13">
        <v>0</v>
      </c>
      <c r="T172" s="13">
        <f>LISTA[[#This Row],[VALOR FINAL]]+LISTA[[#This Row],[TARIFA IN]]+LISTA[[#This Row],[TARIFA OUT ]]</f>
        <v>53468.047999999995</v>
      </c>
    </row>
    <row r="173" spans="1:20" x14ac:dyDescent="0.2">
      <c r="A173" s="201" t="s">
        <v>76</v>
      </c>
      <c r="B173" s="203">
        <v>44881</v>
      </c>
      <c r="C173" s="14" t="s">
        <v>48</v>
      </c>
      <c r="D173" s="14">
        <v>1642</v>
      </c>
      <c r="E173" s="14" t="s">
        <v>177</v>
      </c>
      <c r="F173" s="14" t="s">
        <v>39</v>
      </c>
      <c r="G173" s="14" t="s">
        <v>39</v>
      </c>
      <c r="H173" s="14"/>
      <c r="I173" s="14" t="s">
        <v>178</v>
      </c>
      <c r="J173" s="14">
        <v>2318</v>
      </c>
      <c r="K173" s="13">
        <v>43077.1</v>
      </c>
      <c r="L173" s="13">
        <v>0</v>
      </c>
      <c r="M173" s="13">
        <v>0</v>
      </c>
      <c r="N173" s="13">
        <v>0</v>
      </c>
      <c r="O173" s="76">
        <v>43077.1</v>
      </c>
      <c r="P173" s="81" t="s">
        <v>272</v>
      </c>
      <c r="Q173" s="123">
        <v>173</v>
      </c>
      <c r="R173" s="13">
        <v>0</v>
      </c>
      <c r="S173" s="13">
        <v>5728.0584779999999</v>
      </c>
      <c r="T173" s="13">
        <f>LISTA[[#This Row],[VALOR FINAL]]+LISTA[[#This Row],[TARIFA IN]]+LISTA[[#This Row],[TARIFA OUT ]]</f>
        <v>48805.158477999998</v>
      </c>
    </row>
    <row r="174" spans="1:20" x14ac:dyDescent="0.2">
      <c r="A174" s="13" t="s">
        <v>14</v>
      </c>
      <c r="B174" s="203">
        <v>44880</v>
      </c>
      <c r="C174" s="202" t="s">
        <v>44</v>
      </c>
      <c r="D174" s="14" t="s">
        <v>427</v>
      </c>
      <c r="E174" s="14" t="s">
        <v>428</v>
      </c>
      <c r="F174" s="14" t="s">
        <v>429</v>
      </c>
      <c r="G174" s="14" t="s">
        <v>39</v>
      </c>
      <c r="H174" s="14"/>
      <c r="I174" s="14" t="s">
        <v>430</v>
      </c>
      <c r="J174" s="14">
        <v>1825</v>
      </c>
      <c r="K174" s="13">
        <v>0</v>
      </c>
      <c r="L174" s="13">
        <v>9088.5</v>
      </c>
      <c r="M174" s="13"/>
      <c r="N174" s="13">
        <v>0</v>
      </c>
      <c r="O174" s="13">
        <v>9088.5</v>
      </c>
      <c r="P174" s="81" t="s">
        <v>272</v>
      </c>
      <c r="Q174" s="123">
        <v>163</v>
      </c>
      <c r="R174" s="13">
        <v>0</v>
      </c>
      <c r="S174" s="13">
        <v>4509.7958250000001</v>
      </c>
      <c r="T174" s="13">
        <f>LISTA[[#This Row],[VALOR FINAL]]+LISTA[[#This Row],[TARIFA IN]]+LISTA[[#This Row],[TARIFA OUT ]]</f>
        <v>13598.295825000001</v>
      </c>
    </row>
    <row r="175" spans="1:20" x14ac:dyDescent="0.2">
      <c r="A175" s="201" t="s">
        <v>14</v>
      </c>
      <c r="B175" s="203">
        <v>44881</v>
      </c>
      <c r="C175" s="14" t="s">
        <v>84</v>
      </c>
      <c r="D175" s="14" t="s">
        <v>447</v>
      </c>
      <c r="E175" s="14" t="s">
        <v>445</v>
      </c>
      <c r="F175" s="14" t="s">
        <v>39</v>
      </c>
      <c r="G175" s="14" t="s">
        <v>39</v>
      </c>
      <c r="H175" s="14"/>
      <c r="I175" s="14" t="s">
        <v>446</v>
      </c>
      <c r="J175" s="14">
        <v>220</v>
      </c>
      <c r="K175" s="13">
        <f>+LISTA[[#This Row],[KILOS]]*5.09</f>
        <v>1119.8</v>
      </c>
      <c r="L175" s="13">
        <v>0</v>
      </c>
      <c r="M175" s="13">
        <v>0</v>
      </c>
      <c r="N175" s="13">
        <v>0</v>
      </c>
      <c r="O175" s="13">
        <f>+LISTA[[#This Row],[KILOS]]*5.09</f>
        <v>1119.8</v>
      </c>
      <c r="P175" s="81" t="s">
        <v>272</v>
      </c>
      <c r="Q175" s="123">
        <v>175</v>
      </c>
      <c r="R175" s="13">
        <v>243.19240000000002</v>
      </c>
      <c r="S175" s="13">
        <v>0</v>
      </c>
      <c r="T175" s="13">
        <f>LISTA[[#This Row],[VALOR FINAL]]+LISTA[[#This Row],[TARIFA IN]]+LISTA[[#This Row],[TARIFA OUT ]]</f>
        <v>1362.9924000000001</v>
      </c>
    </row>
    <row r="176" spans="1:20" x14ac:dyDescent="0.2">
      <c r="A176" s="13" t="s">
        <v>14</v>
      </c>
      <c r="B176" s="203">
        <v>44880</v>
      </c>
      <c r="C176" s="202" t="s">
        <v>89</v>
      </c>
      <c r="D176" s="14" t="s">
        <v>411</v>
      </c>
      <c r="E176" s="14" t="s">
        <v>409</v>
      </c>
      <c r="F176" s="14" t="s">
        <v>206</v>
      </c>
      <c r="G176" s="14" t="s">
        <v>97</v>
      </c>
      <c r="H176" s="14"/>
      <c r="I176" s="14" t="s">
        <v>412</v>
      </c>
      <c r="J176" s="14">
        <v>627.08000000000004</v>
      </c>
      <c r="K176" s="13">
        <v>0</v>
      </c>
      <c r="L176" s="13">
        <v>3147.94</v>
      </c>
      <c r="M176" s="13">
        <v>13344.26</v>
      </c>
      <c r="N176" s="13">
        <v>0</v>
      </c>
      <c r="O176" s="13">
        <v>16492.2</v>
      </c>
      <c r="P176" s="81" t="s">
        <v>272</v>
      </c>
      <c r="Q176" s="123">
        <v>155</v>
      </c>
      <c r="R176" s="13">
        <v>0</v>
      </c>
      <c r="S176" s="13">
        <v>1549.5905566800002</v>
      </c>
      <c r="T176" s="13">
        <f>LISTA[[#This Row],[VALOR FINAL]]+LISTA[[#This Row],[TARIFA IN]]+LISTA[[#This Row],[TARIFA OUT ]]</f>
        <v>18041.79055668</v>
      </c>
    </row>
    <row r="177" spans="1:20" x14ac:dyDescent="0.2">
      <c r="A177" s="13" t="s">
        <v>14</v>
      </c>
      <c r="B177" s="203">
        <v>44880</v>
      </c>
      <c r="C177" s="202" t="s">
        <v>90</v>
      </c>
      <c r="D177" s="14" t="s">
        <v>442</v>
      </c>
      <c r="E177" s="14" t="s">
        <v>353</v>
      </c>
      <c r="F177" s="14" t="s">
        <v>123</v>
      </c>
      <c r="G177" s="14" t="s">
        <v>39</v>
      </c>
      <c r="H177" s="14"/>
      <c r="I177" s="14" t="s">
        <v>443</v>
      </c>
      <c r="J177" s="14">
        <v>552.6</v>
      </c>
      <c r="K177" s="13">
        <v>0</v>
      </c>
      <c r="L177" s="13">
        <v>2812.73</v>
      </c>
      <c r="M177" s="13"/>
      <c r="N177" s="13">
        <v>0</v>
      </c>
      <c r="O177" s="13">
        <v>2812.73</v>
      </c>
      <c r="P177" s="81" t="s">
        <v>272</v>
      </c>
      <c r="Q177" s="123">
        <v>170</v>
      </c>
      <c r="R177" s="13">
        <v>0</v>
      </c>
      <c r="S177" s="13">
        <v>1365.5414646000002</v>
      </c>
      <c r="T177" s="13">
        <f>LISTA[[#This Row],[VALOR FINAL]]+LISTA[[#This Row],[TARIFA IN]]+LISTA[[#This Row],[TARIFA OUT ]]</f>
        <v>4178.2714646000004</v>
      </c>
    </row>
    <row r="178" spans="1:20" x14ac:dyDescent="0.2">
      <c r="A178" s="13" t="s">
        <v>14</v>
      </c>
      <c r="B178" s="203">
        <v>44880</v>
      </c>
      <c r="C178" s="202" t="s">
        <v>44</v>
      </c>
      <c r="D178" s="14" t="s">
        <v>431</v>
      </c>
      <c r="E178" s="14" t="s">
        <v>432</v>
      </c>
      <c r="F178" s="14" t="s">
        <v>433</v>
      </c>
      <c r="G178" s="14" t="s">
        <v>39</v>
      </c>
      <c r="H178" s="14"/>
      <c r="I178" s="14" t="s">
        <v>315</v>
      </c>
      <c r="J178" s="14">
        <v>1198.72</v>
      </c>
      <c r="K178" s="13">
        <v>0</v>
      </c>
      <c r="L178" s="13">
        <v>5969.63</v>
      </c>
      <c r="M178" s="13"/>
      <c r="N178" s="13">
        <v>0</v>
      </c>
      <c r="O178" s="13">
        <v>5969.63</v>
      </c>
      <c r="P178" s="81" t="s">
        <v>272</v>
      </c>
      <c r="Q178" s="123">
        <v>164</v>
      </c>
      <c r="R178" s="13">
        <v>0</v>
      </c>
      <c r="S178" s="13">
        <v>2962.1821651200003</v>
      </c>
      <c r="T178" s="13">
        <f>LISTA[[#This Row],[VALOR FINAL]]+LISTA[[#This Row],[TARIFA IN]]+LISTA[[#This Row],[TARIFA OUT ]]</f>
        <v>8931.8121651199999</v>
      </c>
    </row>
    <row r="179" spans="1:20" x14ac:dyDescent="0.2">
      <c r="A179" s="13" t="s">
        <v>14</v>
      </c>
      <c r="B179" s="203">
        <v>44880</v>
      </c>
      <c r="C179" s="202" t="s">
        <v>44</v>
      </c>
      <c r="D179" s="14" t="s">
        <v>434</v>
      </c>
      <c r="E179" s="14" t="s">
        <v>432</v>
      </c>
      <c r="F179" s="14" t="s">
        <v>433</v>
      </c>
      <c r="G179" s="14" t="s">
        <v>39</v>
      </c>
      <c r="H179" s="14"/>
      <c r="I179" s="14" t="s">
        <v>315</v>
      </c>
      <c r="J179" s="14">
        <v>4371.55</v>
      </c>
      <c r="K179" s="13">
        <v>0</v>
      </c>
      <c r="L179" s="13">
        <v>14120.11</v>
      </c>
      <c r="M179" s="13"/>
      <c r="N179" s="13">
        <v>0</v>
      </c>
      <c r="O179" s="13">
        <v>14120.11</v>
      </c>
      <c r="P179" s="81" t="s">
        <v>272</v>
      </c>
      <c r="Q179" s="123">
        <v>165</v>
      </c>
      <c r="R179" s="13">
        <v>0</v>
      </c>
      <c r="S179" s="13">
        <v>10802.62900755</v>
      </c>
      <c r="T179" s="13">
        <f>LISTA[[#This Row],[VALOR FINAL]]+LISTA[[#This Row],[TARIFA IN]]+LISTA[[#This Row],[TARIFA OUT ]]</f>
        <v>24922.739007550001</v>
      </c>
    </row>
    <row r="180" spans="1:20" x14ac:dyDescent="0.2">
      <c r="A180" s="13" t="s">
        <v>14</v>
      </c>
      <c r="B180" s="203">
        <v>44880</v>
      </c>
      <c r="C180" s="202" t="s">
        <v>44</v>
      </c>
      <c r="D180" s="14" t="s">
        <v>435</v>
      </c>
      <c r="E180" s="14" t="s">
        <v>432</v>
      </c>
      <c r="F180" s="14" t="s">
        <v>433</v>
      </c>
      <c r="G180" s="14" t="s">
        <v>39</v>
      </c>
      <c r="H180" s="14"/>
      <c r="I180" s="14" t="s">
        <v>315</v>
      </c>
      <c r="J180" s="14">
        <v>3318.1</v>
      </c>
      <c r="K180" s="13">
        <v>0</v>
      </c>
      <c r="L180" s="13">
        <v>16524.14</v>
      </c>
      <c r="M180" s="13"/>
      <c r="N180" s="13">
        <v>0</v>
      </c>
      <c r="O180" s="13">
        <v>16524.14</v>
      </c>
      <c r="P180" s="81" t="s">
        <v>272</v>
      </c>
      <c r="Q180" s="123">
        <v>166</v>
      </c>
      <c r="R180" s="13">
        <v>0</v>
      </c>
      <c r="S180" s="13">
        <v>8199.4265900999999</v>
      </c>
      <c r="T180" s="13">
        <f>LISTA[[#This Row],[VALOR FINAL]]+LISTA[[#This Row],[TARIFA IN]]+LISTA[[#This Row],[TARIFA OUT ]]</f>
        <v>24723.566590099999</v>
      </c>
    </row>
    <row r="181" spans="1:20" x14ac:dyDescent="0.2">
      <c r="A181" s="13" t="s">
        <v>14</v>
      </c>
      <c r="B181" s="203">
        <v>44880</v>
      </c>
      <c r="C181" s="202" t="s">
        <v>89</v>
      </c>
      <c r="D181" s="14" t="s">
        <v>413</v>
      </c>
      <c r="E181" s="14" t="s">
        <v>414</v>
      </c>
      <c r="F181" s="14" t="s">
        <v>206</v>
      </c>
      <c r="G181" s="14" t="s">
        <v>97</v>
      </c>
      <c r="H181" s="14"/>
      <c r="I181" s="14" t="s">
        <v>415</v>
      </c>
      <c r="J181" s="14">
        <v>1195.52</v>
      </c>
      <c r="K181" s="13">
        <v>0</v>
      </c>
      <c r="L181" s="13">
        <v>5953.69</v>
      </c>
      <c r="M181" s="13">
        <v>18614.25</v>
      </c>
      <c r="N181" s="13">
        <v>0</v>
      </c>
      <c r="O181" s="13">
        <v>24567.94</v>
      </c>
      <c r="P181" s="81" t="s">
        <v>272</v>
      </c>
      <c r="Q181" s="123">
        <v>156</v>
      </c>
      <c r="R181" s="13">
        <v>0</v>
      </c>
      <c r="S181" s="13">
        <v>2954.27457792</v>
      </c>
      <c r="T181" s="13">
        <f>LISTA[[#This Row],[VALOR FINAL]]+LISTA[[#This Row],[TARIFA IN]]+LISTA[[#This Row],[TARIFA OUT ]]</f>
        <v>27522.21457792</v>
      </c>
    </row>
    <row r="182" spans="1:20" x14ac:dyDescent="0.2">
      <c r="A182" s="13" t="s">
        <v>14</v>
      </c>
      <c r="B182" s="203">
        <v>44880</v>
      </c>
      <c r="C182" s="202" t="s">
        <v>89</v>
      </c>
      <c r="D182" s="14" t="s">
        <v>416</v>
      </c>
      <c r="E182" s="14" t="s">
        <v>194</v>
      </c>
      <c r="F182" s="14" t="s">
        <v>417</v>
      </c>
      <c r="G182" s="14" t="s">
        <v>97</v>
      </c>
      <c r="H182" s="14"/>
      <c r="I182" s="14" t="s">
        <v>195</v>
      </c>
      <c r="J182" s="14">
        <v>902.4</v>
      </c>
      <c r="K182" s="13">
        <v>0</v>
      </c>
      <c r="L182" s="13">
        <v>4530.05</v>
      </c>
      <c r="M182" s="13">
        <v>15584.45</v>
      </c>
      <c r="N182" s="13">
        <v>0</v>
      </c>
      <c r="O182" s="13">
        <v>20114.5</v>
      </c>
      <c r="P182" s="81" t="s">
        <v>272</v>
      </c>
      <c r="Q182" s="123">
        <v>157</v>
      </c>
      <c r="R182" s="13">
        <v>0</v>
      </c>
      <c r="S182" s="13">
        <v>2229.9395904000003</v>
      </c>
      <c r="T182" s="13">
        <f>LISTA[[#This Row],[VALOR FINAL]]+LISTA[[#This Row],[TARIFA IN]]+LISTA[[#This Row],[TARIFA OUT ]]</f>
        <v>22344.439590400001</v>
      </c>
    </row>
    <row r="183" spans="1:20" x14ac:dyDescent="0.2">
      <c r="A183" s="13" t="s">
        <v>14</v>
      </c>
      <c r="B183" s="203">
        <v>44880</v>
      </c>
      <c r="C183" s="202" t="s">
        <v>89</v>
      </c>
      <c r="D183" s="14" t="s">
        <v>418</v>
      </c>
      <c r="E183" s="14" t="s">
        <v>194</v>
      </c>
      <c r="F183" s="14" t="s">
        <v>417</v>
      </c>
      <c r="G183" s="14" t="s">
        <v>97</v>
      </c>
      <c r="H183" s="14"/>
      <c r="I183" s="14" t="s">
        <v>195</v>
      </c>
      <c r="J183" s="14">
        <v>590.28</v>
      </c>
      <c r="K183" s="13">
        <v>0</v>
      </c>
      <c r="L183" s="13">
        <v>2963.21</v>
      </c>
      <c r="M183" s="13">
        <v>10194.14</v>
      </c>
      <c r="N183" s="13">
        <v>0</v>
      </c>
      <c r="O183" s="13">
        <v>13157.34</v>
      </c>
      <c r="P183" s="81" t="s">
        <v>272</v>
      </c>
      <c r="Q183" s="123">
        <v>158</v>
      </c>
      <c r="R183" s="13">
        <v>0</v>
      </c>
      <c r="S183" s="13">
        <v>1458.6533038800001</v>
      </c>
      <c r="T183" s="13">
        <f>LISTA[[#This Row],[VALOR FINAL]]+LISTA[[#This Row],[TARIFA IN]]+LISTA[[#This Row],[TARIFA OUT ]]</f>
        <v>14615.993303880001</v>
      </c>
    </row>
    <row r="184" spans="1:20" x14ac:dyDescent="0.2">
      <c r="A184" s="13" t="s">
        <v>14</v>
      </c>
      <c r="B184" s="203">
        <v>44880</v>
      </c>
      <c r="C184" s="202" t="s">
        <v>91</v>
      </c>
      <c r="D184" s="14" t="s">
        <v>396</v>
      </c>
      <c r="E184" s="14" t="s">
        <v>397</v>
      </c>
      <c r="F184" s="14" t="s">
        <v>398</v>
      </c>
      <c r="G184" s="14" t="s">
        <v>39</v>
      </c>
      <c r="H184" s="14"/>
      <c r="I184" s="14" t="s">
        <v>319</v>
      </c>
      <c r="J184" s="14">
        <v>92</v>
      </c>
      <c r="K184" s="13">
        <v>0</v>
      </c>
      <c r="L184" s="13">
        <v>1021.38</v>
      </c>
      <c r="M184" s="13"/>
      <c r="N184" s="13">
        <v>0</v>
      </c>
      <c r="O184" s="76">
        <v>1021.38</v>
      </c>
      <c r="P184" s="81" t="s">
        <v>272</v>
      </c>
      <c r="Q184" s="123">
        <v>148</v>
      </c>
      <c r="R184" s="13">
        <v>0</v>
      </c>
      <c r="S184" s="13">
        <v>227.34313200000003</v>
      </c>
      <c r="T184" s="13">
        <f>LISTA[[#This Row],[VALOR FINAL]]+LISTA[[#This Row],[TARIFA IN]]+LISTA[[#This Row],[TARIFA OUT ]]</f>
        <v>1248.7231320000001</v>
      </c>
    </row>
    <row r="185" spans="1:20" x14ac:dyDescent="0.2">
      <c r="A185" s="13" t="s">
        <v>14</v>
      </c>
      <c r="B185" s="203">
        <v>44880</v>
      </c>
      <c r="C185" s="202" t="s">
        <v>91</v>
      </c>
      <c r="D185" s="14" t="s">
        <v>399</v>
      </c>
      <c r="E185" s="14" t="s">
        <v>397</v>
      </c>
      <c r="F185" s="14" t="s">
        <v>398</v>
      </c>
      <c r="G185" s="14" t="s">
        <v>39</v>
      </c>
      <c r="H185" s="14"/>
      <c r="I185" s="14" t="s">
        <v>319</v>
      </c>
      <c r="J185" s="14">
        <v>92</v>
      </c>
      <c r="K185" s="13">
        <v>0</v>
      </c>
      <c r="L185" s="13">
        <v>1021.38</v>
      </c>
      <c r="M185" s="13"/>
      <c r="N185" s="13">
        <v>0</v>
      </c>
      <c r="O185" s="76">
        <v>1021.38</v>
      </c>
      <c r="P185" s="81" t="s">
        <v>272</v>
      </c>
      <c r="Q185" s="123">
        <v>149</v>
      </c>
      <c r="R185" s="13">
        <v>0</v>
      </c>
      <c r="S185" s="13">
        <v>227.34313200000003</v>
      </c>
      <c r="T185" s="13">
        <f>LISTA[[#This Row],[VALOR FINAL]]+LISTA[[#This Row],[TARIFA IN]]+LISTA[[#This Row],[TARIFA OUT ]]</f>
        <v>1248.7231320000001</v>
      </c>
    </row>
    <row r="186" spans="1:20" x14ac:dyDescent="0.2">
      <c r="A186" s="13" t="s">
        <v>14</v>
      </c>
      <c r="B186" s="203">
        <v>44881</v>
      </c>
      <c r="C186" s="202" t="s">
        <v>48</v>
      </c>
      <c r="D186" s="14" t="s">
        <v>453</v>
      </c>
      <c r="E186" s="14" t="s">
        <v>323</v>
      </c>
      <c r="F186" s="14" t="s">
        <v>123</v>
      </c>
      <c r="G186" s="14" t="s">
        <v>39</v>
      </c>
      <c r="H186" s="14"/>
      <c r="I186" s="14" t="s">
        <v>324</v>
      </c>
      <c r="J186" s="14">
        <v>739.84</v>
      </c>
      <c r="K186" s="13">
        <v>0</v>
      </c>
      <c r="L186" s="13">
        <f>+LISTA[[#This Row],[KILOS]]*9.91</f>
        <v>7331.8144000000002</v>
      </c>
      <c r="M186" s="13">
        <v>0</v>
      </c>
      <c r="N186" s="13">
        <v>0</v>
      </c>
      <c r="O186" s="76">
        <f>+LISTA[[#This Row],[KILOS]]*9.91</f>
        <v>7331.8144000000002</v>
      </c>
      <c r="P186" s="81" t="s">
        <v>272</v>
      </c>
      <c r="Q186" s="123">
        <v>178</v>
      </c>
      <c r="R186" s="13">
        <v>0</v>
      </c>
      <c r="S186" s="13">
        <v>1828.2341606400003</v>
      </c>
      <c r="T186" s="13">
        <f>LISTA[[#This Row],[VALOR FINAL]]+LISTA[[#This Row],[TARIFA IN]]+LISTA[[#This Row],[TARIFA OUT ]]</f>
        <v>9160.0485606399998</v>
      </c>
    </row>
    <row r="187" spans="1:20" x14ac:dyDescent="0.2">
      <c r="A187" s="13" t="s">
        <v>14</v>
      </c>
      <c r="B187" s="203">
        <v>44880</v>
      </c>
      <c r="C187" s="202" t="s">
        <v>143</v>
      </c>
      <c r="D187" s="14" t="s">
        <v>382</v>
      </c>
      <c r="E187" s="14" t="s">
        <v>383</v>
      </c>
      <c r="F187" s="14" t="s">
        <v>384</v>
      </c>
      <c r="G187" s="14" t="s">
        <v>39</v>
      </c>
      <c r="H187" s="14"/>
      <c r="I187" s="14" t="s">
        <v>344</v>
      </c>
      <c r="J187" s="14">
        <v>1953.1</v>
      </c>
      <c r="K187" s="13">
        <v>0</v>
      </c>
      <c r="L187" s="13">
        <v>9726.44</v>
      </c>
      <c r="M187" s="13"/>
      <c r="N187" s="13">
        <v>0</v>
      </c>
      <c r="O187" s="76">
        <v>9726.44</v>
      </c>
      <c r="P187" s="81" t="s">
        <v>272</v>
      </c>
      <c r="Q187" s="123">
        <v>143</v>
      </c>
      <c r="R187" s="13">
        <v>0</v>
      </c>
      <c r="S187" s="13">
        <v>4826.3464250999996</v>
      </c>
      <c r="T187" s="13">
        <f>LISTA[[#This Row],[VALOR FINAL]]+LISTA[[#This Row],[TARIFA IN]]+LISTA[[#This Row],[TARIFA OUT ]]</f>
        <v>14552.786425099999</v>
      </c>
    </row>
    <row r="188" spans="1:20" x14ac:dyDescent="0.2">
      <c r="A188" s="13" t="s">
        <v>14</v>
      </c>
      <c r="B188" s="203">
        <v>44880</v>
      </c>
      <c r="C188" s="202" t="s">
        <v>89</v>
      </c>
      <c r="D188" s="14" t="s">
        <v>419</v>
      </c>
      <c r="E188" s="14" t="s">
        <v>420</v>
      </c>
      <c r="F188" s="14" t="s">
        <v>327</v>
      </c>
      <c r="G188" s="14" t="s">
        <v>97</v>
      </c>
      <c r="H188" s="14"/>
      <c r="I188" s="14" t="s">
        <v>328</v>
      </c>
      <c r="J188" s="14">
        <v>3833.5</v>
      </c>
      <c r="K188" s="13">
        <v>0</v>
      </c>
      <c r="L188" s="13">
        <v>19090.830000000002</v>
      </c>
      <c r="M188" s="13">
        <v>59687.6</v>
      </c>
      <c r="N188" s="13">
        <v>0</v>
      </c>
      <c r="O188" s="76">
        <v>78778.429999999993</v>
      </c>
      <c r="P188" s="81" t="s">
        <v>272</v>
      </c>
      <c r="Q188" s="123">
        <v>159</v>
      </c>
      <c r="R188" s="13">
        <v>0</v>
      </c>
      <c r="S188" s="13">
        <v>9473.0423535000009</v>
      </c>
      <c r="T188" s="13">
        <f>LISTA[[#This Row],[VALOR FINAL]]+LISTA[[#This Row],[TARIFA IN]]+LISTA[[#This Row],[TARIFA OUT ]]</f>
        <v>88251.472353499994</v>
      </c>
    </row>
    <row r="189" spans="1:20" x14ac:dyDescent="0.2">
      <c r="A189" s="13" t="s">
        <v>14</v>
      </c>
      <c r="B189" s="203">
        <v>44880</v>
      </c>
      <c r="C189" s="202" t="s">
        <v>91</v>
      </c>
      <c r="D189" s="14" t="s">
        <v>400</v>
      </c>
      <c r="E189" s="14" t="s">
        <v>386</v>
      </c>
      <c r="F189" s="14" t="s">
        <v>401</v>
      </c>
      <c r="G189" s="14" t="s">
        <v>39</v>
      </c>
      <c r="H189" s="14"/>
      <c r="I189" s="14" t="s">
        <v>387</v>
      </c>
      <c r="J189" s="14">
        <v>1059</v>
      </c>
      <c r="K189" s="13">
        <v>0</v>
      </c>
      <c r="L189" s="13">
        <f>LISTA[[#This Row],[KILOS]]*4.98</f>
        <v>5273.8200000000006</v>
      </c>
      <c r="M189" s="13"/>
      <c r="N189" s="13">
        <v>0</v>
      </c>
      <c r="O189" s="13">
        <f>LISTA[[#This Row],[KILOS]]*4.98</f>
        <v>5273.8200000000006</v>
      </c>
      <c r="P189" s="81" t="s">
        <v>272</v>
      </c>
      <c r="Q189" s="123">
        <v>150</v>
      </c>
      <c r="R189" s="13">
        <v>0</v>
      </c>
      <c r="S189" s="13">
        <v>214.987527</v>
      </c>
      <c r="T189" s="13">
        <f>LISTA[[#This Row],[VALOR FINAL]]+LISTA[[#This Row],[TARIFA IN]]+LISTA[[#This Row],[TARIFA OUT ]]</f>
        <v>5488.8075270000008</v>
      </c>
    </row>
    <row r="190" spans="1:20" x14ac:dyDescent="0.2">
      <c r="A190" s="13" t="s">
        <v>14</v>
      </c>
      <c r="B190" s="203">
        <v>44881</v>
      </c>
      <c r="C190" s="202" t="s">
        <v>38</v>
      </c>
      <c r="D190" s="14" t="s">
        <v>519</v>
      </c>
      <c r="E190" s="14" t="s">
        <v>520</v>
      </c>
      <c r="F190" s="14" t="s">
        <v>521</v>
      </c>
      <c r="G190" s="14" t="s">
        <v>39</v>
      </c>
      <c r="H190" s="14"/>
      <c r="I190" s="14" t="s">
        <v>307</v>
      </c>
      <c r="J190" s="14">
        <v>4701.26</v>
      </c>
      <c r="K190" s="13">
        <v>0</v>
      </c>
      <c r="L190" s="13">
        <v>15185.07</v>
      </c>
      <c r="M190" s="13"/>
      <c r="N190" s="13">
        <v>0</v>
      </c>
      <c r="O190" s="76">
        <v>15185.07</v>
      </c>
      <c r="P190" s="81" t="s">
        <v>272</v>
      </c>
      <c r="Q190" s="123">
        <v>217</v>
      </c>
      <c r="R190" s="13">
        <v>0</v>
      </c>
      <c r="S190" s="13">
        <v>11617.38231246</v>
      </c>
      <c r="T190" s="13">
        <f>LISTA[[#This Row],[VALOR FINAL]]+LISTA[[#This Row],[TARIFA IN]]+LISTA[[#This Row],[TARIFA OUT ]]</f>
        <v>26802.452312460002</v>
      </c>
    </row>
    <row r="191" spans="1:20" x14ac:dyDescent="0.2">
      <c r="A191" s="13" t="s">
        <v>14</v>
      </c>
      <c r="B191" s="203">
        <v>44881</v>
      </c>
      <c r="C191" s="202" t="s">
        <v>48</v>
      </c>
      <c r="D191" s="14" t="s">
        <v>454</v>
      </c>
      <c r="E191" s="14" t="s">
        <v>455</v>
      </c>
      <c r="F191" s="14" t="s">
        <v>450</v>
      </c>
      <c r="G191" s="14" t="s">
        <v>39</v>
      </c>
      <c r="H191" s="14"/>
      <c r="I191" s="14" t="s">
        <v>456</v>
      </c>
      <c r="J191" s="14">
        <v>15846.04</v>
      </c>
      <c r="K191" s="13">
        <v>0</v>
      </c>
      <c r="L191" s="13">
        <f>+LISTA[[#This Row],[KILOS]]*2.04</f>
        <v>32325.921600000001</v>
      </c>
      <c r="M191" s="13">
        <v>0</v>
      </c>
      <c r="N191" s="13">
        <v>0</v>
      </c>
      <c r="O191" s="76">
        <f>+LISTA[[#This Row],[KILOS]]*2.04</f>
        <v>32325.921600000001</v>
      </c>
      <c r="P191" s="81" t="s">
        <v>272</v>
      </c>
      <c r="Q191" s="123">
        <v>179</v>
      </c>
      <c r="R191" s="13">
        <v>0</v>
      </c>
      <c r="S191" s="13">
        <v>39157.482210840004</v>
      </c>
      <c r="T191" s="13">
        <f>LISTA[[#This Row],[VALOR FINAL]]+LISTA[[#This Row],[TARIFA IN]]+LISTA[[#This Row],[TARIFA OUT ]]</f>
        <v>71483.403810840013</v>
      </c>
    </row>
    <row r="192" spans="1:20" x14ac:dyDescent="0.2">
      <c r="A192" s="13" t="s">
        <v>14</v>
      </c>
      <c r="B192" s="203">
        <v>44881</v>
      </c>
      <c r="C192" s="202" t="s">
        <v>48</v>
      </c>
      <c r="D192" s="14" t="s">
        <v>457</v>
      </c>
      <c r="E192" s="14" t="s">
        <v>455</v>
      </c>
      <c r="F192" s="14" t="s">
        <v>450</v>
      </c>
      <c r="G192" s="14" t="s">
        <v>39</v>
      </c>
      <c r="H192" s="14"/>
      <c r="I192" s="14" t="s">
        <v>456</v>
      </c>
      <c r="J192" s="14">
        <v>2077.0500000000002</v>
      </c>
      <c r="K192" s="13">
        <v>0</v>
      </c>
      <c r="L192" s="13">
        <f>+LISTA[[#This Row],[KILOS]]*5.07</f>
        <v>10530.643500000002</v>
      </c>
      <c r="M192" s="13">
        <v>0</v>
      </c>
      <c r="N192" s="13">
        <v>0</v>
      </c>
      <c r="O192" s="76">
        <f>+LISTA[[#This Row],[KILOS]]*5.07</f>
        <v>10530.643500000002</v>
      </c>
      <c r="P192" s="81" t="s">
        <v>272</v>
      </c>
      <c r="Q192" s="123">
        <v>180</v>
      </c>
      <c r="R192" s="13">
        <v>0</v>
      </c>
      <c r="S192" s="13">
        <v>5132.6418730500009</v>
      </c>
      <c r="T192" s="13">
        <f>LISTA[[#This Row],[VALOR FINAL]]+LISTA[[#This Row],[TARIFA IN]]+LISTA[[#This Row],[TARIFA OUT ]]</f>
        <v>15663.285373050003</v>
      </c>
    </row>
    <row r="193" spans="1:20" x14ac:dyDescent="0.2">
      <c r="A193" s="13" t="s">
        <v>14</v>
      </c>
      <c r="B193" s="203">
        <v>44881</v>
      </c>
      <c r="C193" s="202" t="s">
        <v>48</v>
      </c>
      <c r="D193" s="14" t="s">
        <v>458</v>
      </c>
      <c r="E193" s="14" t="s">
        <v>455</v>
      </c>
      <c r="F193" s="14" t="s">
        <v>450</v>
      </c>
      <c r="G193" s="14" t="s">
        <v>39</v>
      </c>
      <c r="H193" s="14"/>
      <c r="I193" s="14" t="s">
        <v>456</v>
      </c>
      <c r="J193" s="14">
        <v>36.799999999999997</v>
      </c>
      <c r="K193" s="13">
        <v>0</v>
      </c>
      <c r="L193" s="13">
        <v>1036.48</v>
      </c>
      <c r="M193" s="13">
        <v>0</v>
      </c>
      <c r="N193" s="13">
        <v>0</v>
      </c>
      <c r="O193" s="76">
        <v>1036.48</v>
      </c>
      <c r="P193" s="81" t="s">
        <v>272</v>
      </c>
      <c r="Q193" s="123">
        <v>181</v>
      </c>
      <c r="R193" s="13">
        <v>0</v>
      </c>
      <c r="S193" s="13">
        <v>90.937252799999996</v>
      </c>
      <c r="T193" s="13">
        <f>LISTA[[#This Row],[VALOR FINAL]]+LISTA[[#This Row],[TARIFA IN]]+LISTA[[#This Row],[TARIFA OUT ]]</f>
        <v>1127.4172527999999</v>
      </c>
    </row>
    <row r="194" spans="1:20" x14ac:dyDescent="0.2">
      <c r="A194" s="13" t="s">
        <v>14</v>
      </c>
      <c r="B194" s="203">
        <v>44881</v>
      </c>
      <c r="C194" s="202" t="s">
        <v>48</v>
      </c>
      <c r="D194" s="14" t="s">
        <v>459</v>
      </c>
      <c r="E194" s="14" t="s">
        <v>455</v>
      </c>
      <c r="F194" s="14" t="s">
        <v>450</v>
      </c>
      <c r="G194" s="14" t="s">
        <v>39</v>
      </c>
      <c r="H194" s="14"/>
      <c r="I194" s="14" t="s">
        <v>456</v>
      </c>
      <c r="J194" s="14">
        <v>377.6</v>
      </c>
      <c r="K194" s="13">
        <v>0</v>
      </c>
      <c r="L194" s="13">
        <f>+LISTA[[#This Row],[KILOS]]*5.09</f>
        <v>1921.9840000000002</v>
      </c>
      <c r="M194" s="13">
        <v>0</v>
      </c>
      <c r="N194" s="13">
        <v>0</v>
      </c>
      <c r="O194" s="13">
        <f>+LISTA[[#This Row],[KILOS]]*5.09</f>
        <v>1921.9840000000002</v>
      </c>
      <c r="P194" s="81" t="s">
        <v>272</v>
      </c>
      <c r="Q194" s="123">
        <v>182</v>
      </c>
      <c r="R194" s="13">
        <v>0</v>
      </c>
      <c r="S194" s="13">
        <v>933.09528960000011</v>
      </c>
      <c r="T194" s="13">
        <f>LISTA[[#This Row],[VALOR FINAL]]+LISTA[[#This Row],[TARIFA IN]]+LISTA[[#This Row],[TARIFA OUT ]]</f>
        <v>2855.0792896000003</v>
      </c>
    </row>
    <row r="195" spans="1:20" x14ac:dyDescent="0.2">
      <c r="A195" s="13" t="s">
        <v>14</v>
      </c>
      <c r="B195" s="203">
        <v>44881</v>
      </c>
      <c r="C195" s="202" t="s">
        <v>91</v>
      </c>
      <c r="D195" s="14" t="s">
        <v>461</v>
      </c>
      <c r="E195" s="14" t="s">
        <v>462</v>
      </c>
      <c r="F195" s="14" t="s">
        <v>123</v>
      </c>
      <c r="G195" s="14" t="s">
        <v>39</v>
      </c>
      <c r="H195" s="14"/>
      <c r="I195" s="14" t="s">
        <v>463</v>
      </c>
      <c r="J195" s="14">
        <v>23.02</v>
      </c>
      <c r="K195" s="13">
        <v>0</v>
      </c>
      <c r="L195" s="13">
        <v>1036.48</v>
      </c>
      <c r="M195" s="13">
        <v>0</v>
      </c>
      <c r="N195" s="13">
        <v>0</v>
      </c>
      <c r="O195" s="76">
        <v>1036.48</v>
      </c>
      <c r="P195" s="81" t="s">
        <v>272</v>
      </c>
      <c r="Q195" s="123">
        <v>184</v>
      </c>
      <c r="R195" s="13">
        <v>0</v>
      </c>
      <c r="S195" s="13">
        <v>56.885205419999998</v>
      </c>
      <c r="T195" s="13">
        <f>LISTA[[#This Row],[VALOR FINAL]]+LISTA[[#This Row],[TARIFA IN]]+LISTA[[#This Row],[TARIFA OUT ]]</f>
        <v>1093.3652054199999</v>
      </c>
    </row>
    <row r="196" spans="1:20" x14ac:dyDescent="0.2">
      <c r="A196" s="13" t="s">
        <v>14</v>
      </c>
      <c r="B196" s="203">
        <v>44881</v>
      </c>
      <c r="C196" s="202" t="s">
        <v>48</v>
      </c>
      <c r="D196" s="14" t="s">
        <v>460</v>
      </c>
      <c r="E196" s="14" t="s">
        <v>449</v>
      </c>
      <c r="F196" s="14" t="s">
        <v>450</v>
      </c>
      <c r="G196" s="14" t="s">
        <v>39</v>
      </c>
      <c r="H196" s="14"/>
      <c r="I196" s="14" t="s">
        <v>451</v>
      </c>
      <c r="J196" s="14">
        <v>23.02</v>
      </c>
      <c r="K196" s="13">
        <v>0</v>
      </c>
      <c r="L196" s="13">
        <v>1036.48</v>
      </c>
      <c r="M196" s="13">
        <v>0</v>
      </c>
      <c r="N196" s="13">
        <v>0</v>
      </c>
      <c r="O196" s="76">
        <v>1036.48</v>
      </c>
      <c r="P196" s="81" t="s">
        <v>272</v>
      </c>
      <c r="Q196" s="123">
        <v>183</v>
      </c>
      <c r="R196" s="13">
        <v>0</v>
      </c>
      <c r="S196" s="13">
        <v>56.885205419999998</v>
      </c>
      <c r="T196" s="13">
        <f>LISTA[[#This Row],[VALOR FINAL]]+LISTA[[#This Row],[TARIFA IN]]+LISTA[[#This Row],[TARIFA OUT ]]</f>
        <v>1093.3652054199999</v>
      </c>
    </row>
    <row r="197" spans="1:20" x14ac:dyDescent="0.2">
      <c r="A197" s="13" t="s">
        <v>14</v>
      </c>
      <c r="B197" s="203">
        <v>44881</v>
      </c>
      <c r="C197" s="202" t="s">
        <v>91</v>
      </c>
      <c r="D197" s="14" t="s">
        <v>464</v>
      </c>
      <c r="E197" s="14" t="s">
        <v>180</v>
      </c>
      <c r="F197" s="14" t="s">
        <v>181</v>
      </c>
      <c r="G197" s="14" t="s">
        <v>39</v>
      </c>
      <c r="H197" s="14"/>
      <c r="I197" s="14" t="s">
        <v>182</v>
      </c>
      <c r="J197" s="14">
        <v>23.02</v>
      </c>
      <c r="K197" s="13">
        <v>0</v>
      </c>
      <c r="L197" s="13">
        <v>1021.38</v>
      </c>
      <c r="M197" s="13">
        <v>0</v>
      </c>
      <c r="N197" s="13">
        <v>0</v>
      </c>
      <c r="O197" s="76">
        <v>1021.38</v>
      </c>
      <c r="P197" s="81" t="s">
        <v>272</v>
      </c>
      <c r="Q197" s="123">
        <v>185</v>
      </c>
      <c r="R197" s="13">
        <v>0</v>
      </c>
      <c r="S197" s="13">
        <v>56.885205419999998</v>
      </c>
      <c r="T197" s="13">
        <f>LISTA[[#This Row],[VALOR FINAL]]+LISTA[[#This Row],[TARIFA IN]]+LISTA[[#This Row],[TARIFA OUT ]]</f>
        <v>1078.26520542</v>
      </c>
    </row>
    <row r="198" spans="1:20" x14ac:dyDescent="0.2">
      <c r="A198" s="13" t="s">
        <v>14</v>
      </c>
      <c r="B198" s="203">
        <v>44881</v>
      </c>
      <c r="C198" s="202" t="s">
        <v>91</v>
      </c>
      <c r="D198" s="14" t="s">
        <v>465</v>
      </c>
      <c r="E198" s="14" t="s">
        <v>204</v>
      </c>
      <c r="F198" s="14" t="s">
        <v>205</v>
      </c>
      <c r="G198" s="14" t="s">
        <v>39</v>
      </c>
      <c r="H198" s="14"/>
      <c r="I198" s="14" t="s">
        <v>163</v>
      </c>
      <c r="J198" s="14">
        <v>11.51</v>
      </c>
      <c r="K198" s="13">
        <v>0</v>
      </c>
      <c r="L198" s="13">
        <v>1021.38</v>
      </c>
      <c r="M198" s="13">
        <v>0</v>
      </c>
      <c r="N198" s="13">
        <v>0</v>
      </c>
      <c r="O198" s="76">
        <v>1021.38</v>
      </c>
      <c r="P198" s="81" t="s">
        <v>272</v>
      </c>
      <c r="Q198" s="123">
        <v>186</v>
      </c>
      <c r="R198" s="13">
        <v>0</v>
      </c>
      <c r="S198" s="13">
        <v>28.442602709999999</v>
      </c>
      <c r="T198" s="13">
        <f>LISTA[[#This Row],[VALOR FINAL]]+LISTA[[#This Row],[TARIFA IN]]+LISTA[[#This Row],[TARIFA OUT ]]</f>
        <v>1049.82260271</v>
      </c>
    </row>
    <row r="199" spans="1:20" x14ac:dyDescent="0.2">
      <c r="A199" s="13" t="s">
        <v>14</v>
      </c>
      <c r="B199" s="203">
        <v>44881</v>
      </c>
      <c r="C199" s="202" t="s">
        <v>88</v>
      </c>
      <c r="D199" s="197" t="s">
        <v>496</v>
      </c>
      <c r="E199" s="197" t="s">
        <v>394</v>
      </c>
      <c r="F199" s="197" t="s">
        <v>395</v>
      </c>
      <c r="G199" s="197" t="s">
        <v>39</v>
      </c>
      <c r="H199" s="197"/>
      <c r="I199" s="197" t="s">
        <v>167</v>
      </c>
      <c r="J199" s="197">
        <v>23.02</v>
      </c>
      <c r="K199" s="13">
        <v>0</v>
      </c>
      <c r="L199" s="13">
        <v>1021.38</v>
      </c>
      <c r="M199" s="13">
        <v>0</v>
      </c>
      <c r="N199" s="13">
        <v>0</v>
      </c>
      <c r="O199" s="76">
        <v>1021.38</v>
      </c>
      <c r="P199" s="81" t="s">
        <v>272</v>
      </c>
      <c r="Q199" s="123">
        <v>206</v>
      </c>
      <c r="R199" s="13">
        <v>0</v>
      </c>
      <c r="S199" s="13">
        <v>56.885205419999998</v>
      </c>
      <c r="T199" s="13">
        <f>LISTA[[#This Row],[VALOR FINAL]]+LISTA[[#This Row],[TARIFA IN]]+LISTA[[#This Row],[TARIFA OUT ]]</f>
        <v>1078.26520542</v>
      </c>
    </row>
    <row r="200" spans="1:20" x14ac:dyDescent="0.2">
      <c r="A200" s="13" t="s">
        <v>14</v>
      </c>
      <c r="B200" s="203">
        <v>44881</v>
      </c>
      <c r="C200" s="202" t="s">
        <v>91</v>
      </c>
      <c r="D200" s="14" t="s">
        <v>466</v>
      </c>
      <c r="E200" s="14" t="s">
        <v>300</v>
      </c>
      <c r="F200" s="14" t="s">
        <v>301</v>
      </c>
      <c r="G200" s="14" t="s">
        <v>39</v>
      </c>
      <c r="H200" s="14"/>
      <c r="I200" s="14" t="s">
        <v>302</v>
      </c>
      <c r="J200" s="14">
        <v>23.02</v>
      </c>
      <c r="K200" s="13">
        <v>0</v>
      </c>
      <c r="L200" s="13">
        <v>1021.38</v>
      </c>
      <c r="M200" s="13">
        <v>0</v>
      </c>
      <c r="N200" s="13">
        <v>0</v>
      </c>
      <c r="O200" s="76">
        <v>1021.38</v>
      </c>
      <c r="P200" s="81" t="s">
        <v>272</v>
      </c>
      <c r="Q200" s="123">
        <v>187</v>
      </c>
      <c r="R200" s="13">
        <v>0</v>
      </c>
      <c r="S200" s="13">
        <v>56.885205419999998</v>
      </c>
      <c r="T200" s="13">
        <f>LISTA[[#This Row],[VALOR FINAL]]+LISTA[[#This Row],[TARIFA IN]]+LISTA[[#This Row],[TARIFA OUT ]]</f>
        <v>1078.26520542</v>
      </c>
    </row>
    <row r="201" spans="1:20" x14ac:dyDescent="0.2">
      <c r="A201" s="13" t="s">
        <v>14</v>
      </c>
      <c r="B201" s="203">
        <v>44884</v>
      </c>
      <c r="C201" s="202" t="s">
        <v>44</v>
      </c>
      <c r="D201" s="14" t="s">
        <v>597</v>
      </c>
      <c r="E201" s="14" t="s">
        <v>590</v>
      </c>
      <c r="F201" s="14" t="s">
        <v>123</v>
      </c>
      <c r="G201" s="14" t="s">
        <v>39</v>
      </c>
      <c r="H201" s="14"/>
      <c r="I201" s="14" t="s">
        <v>591</v>
      </c>
      <c r="J201" s="14">
        <v>69.05</v>
      </c>
      <c r="K201" s="13">
        <v>0</v>
      </c>
      <c r="L201" s="13">
        <v>1021.38</v>
      </c>
      <c r="M201" s="13">
        <v>0</v>
      </c>
      <c r="N201" s="13">
        <v>0</v>
      </c>
      <c r="O201" s="76">
        <v>1021.38</v>
      </c>
      <c r="P201" s="81" t="s">
        <v>272</v>
      </c>
      <c r="Q201" s="123">
        <v>287</v>
      </c>
      <c r="R201" s="13"/>
      <c r="S201" s="13"/>
      <c r="T201" s="13">
        <f>LISTA[[#This Row],[VALOR FINAL]]+LISTA[[#This Row],[TARIFA IN]]+LISTA[[#This Row],[TARIFA OUT ]]</f>
        <v>1021.38</v>
      </c>
    </row>
    <row r="202" spans="1:20" x14ac:dyDescent="0.2">
      <c r="A202" s="13" t="s">
        <v>14</v>
      </c>
      <c r="B202" s="203">
        <v>44881</v>
      </c>
      <c r="C202" s="202" t="s">
        <v>91</v>
      </c>
      <c r="D202" s="14" t="s">
        <v>467</v>
      </c>
      <c r="E202" s="14" t="s">
        <v>290</v>
      </c>
      <c r="F202" s="14" t="s">
        <v>291</v>
      </c>
      <c r="G202" s="14" t="s">
        <v>39</v>
      </c>
      <c r="H202" s="14"/>
      <c r="I202" s="14" t="s">
        <v>292</v>
      </c>
      <c r="J202" s="14">
        <v>23.02</v>
      </c>
      <c r="K202" s="13">
        <v>0</v>
      </c>
      <c r="L202" s="13">
        <v>1021.38</v>
      </c>
      <c r="M202" s="13">
        <v>0</v>
      </c>
      <c r="N202" s="13">
        <v>0</v>
      </c>
      <c r="O202" s="76">
        <v>1021.38</v>
      </c>
      <c r="P202" s="81" t="s">
        <v>272</v>
      </c>
      <c r="Q202" s="123">
        <v>188</v>
      </c>
      <c r="R202" s="13">
        <v>0</v>
      </c>
      <c r="S202" s="13">
        <v>56.885205419999998</v>
      </c>
      <c r="T202" s="13">
        <f>LISTA[[#This Row],[VALOR FINAL]]+LISTA[[#This Row],[TARIFA IN]]+LISTA[[#This Row],[TARIFA OUT ]]</f>
        <v>1078.26520542</v>
      </c>
    </row>
    <row r="203" spans="1:20" x14ac:dyDescent="0.2">
      <c r="A203" s="13" t="s">
        <v>14</v>
      </c>
      <c r="B203" s="203">
        <v>44881</v>
      </c>
      <c r="C203" s="202" t="s">
        <v>91</v>
      </c>
      <c r="D203" s="14" t="s">
        <v>468</v>
      </c>
      <c r="E203" s="14" t="s">
        <v>469</v>
      </c>
      <c r="F203" s="14" t="s">
        <v>470</v>
      </c>
      <c r="G203" s="14" t="s">
        <v>39</v>
      </c>
      <c r="H203" s="14"/>
      <c r="I203" s="14" t="s">
        <v>471</v>
      </c>
      <c r="J203" s="14">
        <v>23.02</v>
      </c>
      <c r="K203" s="13">
        <v>0</v>
      </c>
      <c r="L203" s="13">
        <v>1021.38</v>
      </c>
      <c r="M203" s="13">
        <v>0</v>
      </c>
      <c r="N203" s="13">
        <v>0</v>
      </c>
      <c r="O203" s="76">
        <v>1021.38</v>
      </c>
      <c r="P203" s="81" t="s">
        <v>272</v>
      </c>
      <c r="Q203" s="123">
        <v>189</v>
      </c>
      <c r="R203" s="13">
        <v>0</v>
      </c>
      <c r="S203" s="13">
        <v>56.885205419999998</v>
      </c>
      <c r="T203" s="13">
        <f>LISTA[[#This Row],[VALOR FINAL]]+LISTA[[#This Row],[TARIFA IN]]+LISTA[[#This Row],[TARIFA OUT ]]</f>
        <v>1078.26520542</v>
      </c>
    </row>
    <row r="204" spans="1:20" x14ac:dyDescent="0.2">
      <c r="A204" s="13" t="s">
        <v>14</v>
      </c>
      <c r="B204" s="203">
        <v>44881</v>
      </c>
      <c r="C204" s="202" t="s">
        <v>91</v>
      </c>
      <c r="D204" s="14" t="s">
        <v>472</v>
      </c>
      <c r="E204" s="14" t="s">
        <v>438</v>
      </c>
      <c r="F204" s="14" t="s">
        <v>123</v>
      </c>
      <c r="G204" s="14" t="s">
        <v>39</v>
      </c>
      <c r="H204" s="14"/>
      <c r="I204" s="14" t="s">
        <v>439</v>
      </c>
      <c r="J204" s="14">
        <v>23.02</v>
      </c>
      <c r="K204" s="13">
        <v>0</v>
      </c>
      <c r="L204" s="13">
        <v>1036.48</v>
      </c>
      <c r="M204" s="13">
        <v>0</v>
      </c>
      <c r="N204" s="13">
        <v>0</v>
      </c>
      <c r="O204" s="76">
        <v>1036.48</v>
      </c>
      <c r="P204" s="81" t="s">
        <v>272</v>
      </c>
      <c r="Q204" s="123">
        <v>190</v>
      </c>
      <c r="R204" s="13">
        <v>0</v>
      </c>
      <c r="S204" s="13">
        <v>56.885205419999998</v>
      </c>
      <c r="T204" s="13">
        <f>LISTA[[#This Row],[VALOR FINAL]]+LISTA[[#This Row],[TARIFA IN]]+LISTA[[#This Row],[TARIFA OUT ]]</f>
        <v>1093.3652054199999</v>
      </c>
    </row>
    <row r="205" spans="1:20" x14ac:dyDescent="0.2">
      <c r="A205" s="13" t="s">
        <v>14</v>
      </c>
      <c r="B205" s="203">
        <v>44881</v>
      </c>
      <c r="C205" s="202" t="s">
        <v>91</v>
      </c>
      <c r="D205" s="14" t="s">
        <v>473</v>
      </c>
      <c r="E205" s="14" t="s">
        <v>474</v>
      </c>
      <c r="F205" s="14" t="s">
        <v>475</v>
      </c>
      <c r="G205" s="14" t="s">
        <v>39</v>
      </c>
      <c r="H205" s="14"/>
      <c r="I205" s="14" t="s">
        <v>476</v>
      </c>
      <c r="J205" s="14">
        <v>11.51</v>
      </c>
      <c r="K205" s="13">
        <v>0</v>
      </c>
      <c r="L205" s="13">
        <v>1021.38</v>
      </c>
      <c r="M205" s="13">
        <v>0</v>
      </c>
      <c r="N205" s="13">
        <v>0</v>
      </c>
      <c r="O205" s="76">
        <v>1021.38</v>
      </c>
      <c r="P205" s="81" t="s">
        <v>272</v>
      </c>
      <c r="Q205" s="123">
        <v>191</v>
      </c>
      <c r="R205" s="13">
        <v>0</v>
      </c>
      <c r="S205" s="13">
        <v>28.442602709999999</v>
      </c>
      <c r="T205" s="13">
        <f>LISTA[[#This Row],[VALOR FINAL]]+LISTA[[#This Row],[TARIFA IN]]+LISTA[[#This Row],[TARIFA OUT ]]</f>
        <v>1049.82260271</v>
      </c>
    </row>
    <row r="206" spans="1:20" x14ac:dyDescent="0.2">
      <c r="A206" s="13" t="s">
        <v>14</v>
      </c>
      <c r="B206" s="203">
        <v>44881</v>
      </c>
      <c r="C206" s="202" t="s">
        <v>91</v>
      </c>
      <c r="D206" s="14" t="s">
        <v>477</v>
      </c>
      <c r="E206" s="14" t="s">
        <v>169</v>
      </c>
      <c r="F206" s="14" t="s">
        <v>170</v>
      </c>
      <c r="G206" s="14" t="s">
        <v>39</v>
      </c>
      <c r="H206" s="14"/>
      <c r="I206" s="14" t="s">
        <v>171</v>
      </c>
      <c r="J206" s="14">
        <v>11.51</v>
      </c>
      <c r="K206" s="13">
        <v>0</v>
      </c>
      <c r="L206" s="13">
        <v>1021.38</v>
      </c>
      <c r="M206" s="13">
        <v>0</v>
      </c>
      <c r="N206" s="13">
        <v>0</v>
      </c>
      <c r="O206" s="76">
        <v>1021.38</v>
      </c>
      <c r="P206" s="81" t="s">
        <v>272</v>
      </c>
      <c r="Q206" s="123">
        <v>192</v>
      </c>
      <c r="R206" s="13">
        <v>0</v>
      </c>
      <c r="S206" s="13">
        <v>28.442602709999999</v>
      </c>
      <c r="T206" s="13">
        <f>LISTA[[#This Row],[VALOR FINAL]]+LISTA[[#This Row],[TARIFA IN]]+LISTA[[#This Row],[TARIFA OUT ]]</f>
        <v>1049.82260271</v>
      </c>
    </row>
    <row r="207" spans="1:20" x14ac:dyDescent="0.2">
      <c r="A207" s="13" t="s">
        <v>14</v>
      </c>
      <c r="B207" s="203">
        <v>44881</v>
      </c>
      <c r="C207" s="202" t="s">
        <v>91</v>
      </c>
      <c r="D207" s="14" t="s">
        <v>478</v>
      </c>
      <c r="E207" s="14" t="s">
        <v>432</v>
      </c>
      <c r="F207" s="14" t="s">
        <v>433</v>
      </c>
      <c r="G207" s="14" t="s">
        <v>39</v>
      </c>
      <c r="H207" s="14"/>
      <c r="I207" s="14" t="s">
        <v>315</v>
      </c>
      <c r="J207" s="14">
        <v>115.08</v>
      </c>
      <c r="K207" s="13">
        <v>0</v>
      </c>
      <c r="L207" s="13">
        <v>1021.38</v>
      </c>
      <c r="M207" s="13">
        <v>0</v>
      </c>
      <c r="N207" s="13">
        <v>0</v>
      </c>
      <c r="O207" s="76">
        <v>1021.38</v>
      </c>
      <c r="P207" s="81" t="s">
        <v>272</v>
      </c>
      <c r="Q207" s="123">
        <v>193</v>
      </c>
      <c r="R207" s="13">
        <v>0</v>
      </c>
      <c r="S207" s="13">
        <v>284.37660468000001</v>
      </c>
      <c r="T207" s="13">
        <f>LISTA[[#This Row],[VALOR FINAL]]+LISTA[[#This Row],[TARIFA IN]]+LISTA[[#This Row],[TARIFA OUT ]]</f>
        <v>1305.75660468</v>
      </c>
    </row>
    <row r="208" spans="1:20" x14ac:dyDescent="0.2">
      <c r="A208" s="13" t="s">
        <v>14</v>
      </c>
      <c r="B208" s="203">
        <v>44881</v>
      </c>
      <c r="C208" s="202" t="s">
        <v>91</v>
      </c>
      <c r="D208" s="14" t="s">
        <v>479</v>
      </c>
      <c r="E208" s="14" t="s">
        <v>480</v>
      </c>
      <c r="F208" s="14" t="s">
        <v>481</v>
      </c>
      <c r="G208" s="14" t="s">
        <v>39</v>
      </c>
      <c r="H208" s="14"/>
      <c r="I208" s="14" t="s">
        <v>164</v>
      </c>
      <c r="J208" s="14">
        <v>69.05</v>
      </c>
      <c r="K208" s="13">
        <v>0</v>
      </c>
      <c r="L208" s="13">
        <f>1021.38+1021.38</f>
        <v>2042.76</v>
      </c>
      <c r="M208" s="13">
        <v>0</v>
      </c>
      <c r="N208" s="13">
        <v>0</v>
      </c>
      <c r="O208" s="76">
        <f>1021.38+1021.38</f>
        <v>2042.76</v>
      </c>
      <c r="P208" s="81" t="s">
        <v>272</v>
      </c>
      <c r="Q208" s="123">
        <v>194</v>
      </c>
      <c r="R208" s="13">
        <v>0</v>
      </c>
      <c r="S208" s="13">
        <v>170.63090505</v>
      </c>
      <c r="T208" s="13">
        <f>LISTA[[#This Row],[VALOR FINAL]]+LISTA[[#This Row],[TARIFA IN]]+LISTA[[#This Row],[TARIFA OUT ]]</f>
        <v>2213.3909050500001</v>
      </c>
    </row>
    <row r="209" spans="1:20" x14ac:dyDescent="0.2">
      <c r="A209" s="13" t="s">
        <v>14</v>
      </c>
      <c r="B209" s="203">
        <v>44881</v>
      </c>
      <c r="C209" s="202" t="s">
        <v>91</v>
      </c>
      <c r="D209" s="14" t="s">
        <v>482</v>
      </c>
      <c r="E209" s="14" t="s">
        <v>423</v>
      </c>
      <c r="F209" s="14" t="s">
        <v>424</v>
      </c>
      <c r="G209" s="14" t="s">
        <v>39</v>
      </c>
      <c r="H209" s="14"/>
      <c r="I209" s="14" t="s">
        <v>328</v>
      </c>
      <c r="J209" s="14">
        <v>11.51</v>
      </c>
      <c r="K209" s="13">
        <v>0</v>
      </c>
      <c r="L209" s="13">
        <v>1021.38</v>
      </c>
      <c r="M209" s="13">
        <v>0</v>
      </c>
      <c r="N209" s="13">
        <v>0</v>
      </c>
      <c r="O209" s="76">
        <v>1021.38</v>
      </c>
      <c r="P209" s="81" t="s">
        <v>272</v>
      </c>
      <c r="Q209" s="123">
        <v>195</v>
      </c>
      <c r="R209" s="13">
        <v>0</v>
      </c>
      <c r="S209" s="13">
        <v>28.442602709999999</v>
      </c>
      <c r="T209" s="13">
        <f>LISTA[[#This Row],[VALOR FINAL]]+LISTA[[#This Row],[TARIFA IN]]+LISTA[[#This Row],[TARIFA OUT ]]</f>
        <v>1049.82260271</v>
      </c>
    </row>
    <row r="210" spans="1:20" x14ac:dyDescent="0.2">
      <c r="A210" s="13" t="s">
        <v>14</v>
      </c>
      <c r="B210" s="203">
        <v>44881</v>
      </c>
      <c r="C210" s="202" t="s">
        <v>91</v>
      </c>
      <c r="D210" s="14" t="s">
        <v>483</v>
      </c>
      <c r="E210" s="14" t="s">
        <v>367</v>
      </c>
      <c r="F210" s="14" t="s">
        <v>147</v>
      </c>
      <c r="G210" s="14" t="s">
        <v>39</v>
      </c>
      <c r="H210" s="14"/>
      <c r="I210" s="14" t="s">
        <v>368</v>
      </c>
      <c r="J210" s="14">
        <v>23.02</v>
      </c>
      <c r="K210" s="13">
        <v>0</v>
      </c>
      <c r="L210" s="13">
        <v>1021.38</v>
      </c>
      <c r="M210" s="13">
        <v>0</v>
      </c>
      <c r="N210" s="13">
        <v>0</v>
      </c>
      <c r="O210" s="76">
        <v>1021.38</v>
      </c>
      <c r="P210" s="81" t="s">
        <v>272</v>
      </c>
      <c r="Q210" s="123">
        <v>196</v>
      </c>
      <c r="R210" s="13">
        <v>0</v>
      </c>
      <c r="S210" s="13">
        <v>56.885205419999998</v>
      </c>
      <c r="T210" s="13">
        <f>LISTA[[#This Row],[VALOR FINAL]]+LISTA[[#This Row],[TARIFA IN]]+LISTA[[#This Row],[TARIFA OUT ]]</f>
        <v>1078.26520542</v>
      </c>
    </row>
    <row r="211" spans="1:20" x14ac:dyDescent="0.2">
      <c r="A211" s="13" t="s">
        <v>14</v>
      </c>
      <c r="B211" s="190">
        <v>44889</v>
      </c>
      <c r="C211" s="202" t="s">
        <v>89</v>
      </c>
      <c r="D211" s="14" t="s">
        <v>765</v>
      </c>
      <c r="E211" s="14" t="s">
        <v>766</v>
      </c>
      <c r="F211" s="14" t="s">
        <v>767</v>
      </c>
      <c r="G211" s="14" t="s">
        <v>39</v>
      </c>
      <c r="H211" s="14"/>
      <c r="I211" s="14" t="s">
        <v>768</v>
      </c>
      <c r="J211" s="14">
        <v>11.51</v>
      </c>
      <c r="K211" s="13">
        <v>0</v>
      </c>
      <c r="L211" s="13">
        <v>1021.38</v>
      </c>
      <c r="M211" s="13">
        <v>0</v>
      </c>
      <c r="N211" s="13">
        <v>0</v>
      </c>
      <c r="O211" s="76">
        <v>1021.38</v>
      </c>
      <c r="P211" s="81" t="s">
        <v>272</v>
      </c>
      <c r="Q211" s="123">
        <v>473</v>
      </c>
      <c r="R211" s="123"/>
      <c r="S211" s="123"/>
      <c r="T211" s="13">
        <f>LISTA[[#This Row],[TARIFA OUT ]]+LISTA[[#This Row],[TARIFA IN]]+LISTA[[#This Row],[VALOR FINAL]]</f>
        <v>1021.38</v>
      </c>
    </row>
    <row r="212" spans="1:20" x14ac:dyDescent="0.2">
      <c r="A212" s="13" t="s">
        <v>14</v>
      </c>
      <c r="B212" s="203">
        <v>44881</v>
      </c>
      <c r="C212" s="202" t="s">
        <v>91</v>
      </c>
      <c r="D212" s="14" t="s">
        <v>484</v>
      </c>
      <c r="E212" s="14" t="s">
        <v>189</v>
      </c>
      <c r="F212" s="14" t="s">
        <v>190</v>
      </c>
      <c r="G212" s="14" t="s">
        <v>39</v>
      </c>
      <c r="H212" s="14"/>
      <c r="I212" s="14" t="s">
        <v>191</v>
      </c>
      <c r="J212" s="14">
        <v>11.51</v>
      </c>
      <c r="K212" s="13">
        <v>0</v>
      </c>
      <c r="L212" s="13">
        <v>1021.38</v>
      </c>
      <c r="M212" s="13">
        <v>0</v>
      </c>
      <c r="N212" s="13">
        <v>0</v>
      </c>
      <c r="O212" s="13">
        <v>1021.38</v>
      </c>
      <c r="P212" s="81" t="s">
        <v>272</v>
      </c>
      <c r="Q212" s="123">
        <v>197</v>
      </c>
      <c r="R212" s="13">
        <v>0</v>
      </c>
      <c r="S212" s="13">
        <v>28.442602709999999</v>
      </c>
      <c r="T212" s="13">
        <f>LISTA[[#This Row],[VALOR FINAL]]+LISTA[[#This Row],[TARIFA IN]]+LISTA[[#This Row],[TARIFA OUT ]]</f>
        <v>1049.82260271</v>
      </c>
    </row>
    <row r="213" spans="1:20" x14ac:dyDescent="0.2">
      <c r="A213" s="13" t="s">
        <v>14</v>
      </c>
      <c r="B213" s="203">
        <v>44884</v>
      </c>
      <c r="C213" s="202" t="s">
        <v>44</v>
      </c>
      <c r="D213" s="14" t="s">
        <v>598</v>
      </c>
      <c r="E213" s="14" t="s">
        <v>590</v>
      </c>
      <c r="F213" s="14" t="s">
        <v>123</v>
      </c>
      <c r="G213" s="14" t="s">
        <v>39</v>
      </c>
      <c r="H213" s="14"/>
      <c r="I213" s="14" t="s">
        <v>591</v>
      </c>
      <c r="J213" s="14">
        <v>955.3</v>
      </c>
      <c r="K213" s="13">
        <v>0</v>
      </c>
      <c r="L213" s="13">
        <v>4795.6099999999997</v>
      </c>
      <c r="M213" s="13">
        <v>0</v>
      </c>
      <c r="N213" s="13">
        <v>0</v>
      </c>
      <c r="O213" s="76">
        <v>4795.6099999999997</v>
      </c>
      <c r="P213" s="81" t="s">
        <v>272</v>
      </c>
      <c r="Q213" s="123">
        <v>288</v>
      </c>
      <c r="R213" s="13"/>
      <c r="S213" s="13"/>
      <c r="T213" s="13">
        <f>LISTA[[#This Row],[VALOR FINAL]]+LISTA[[#This Row],[TARIFA IN]]+LISTA[[#This Row],[TARIFA OUT ]]</f>
        <v>4795.6099999999997</v>
      </c>
    </row>
    <row r="214" spans="1:20" x14ac:dyDescent="0.2">
      <c r="A214" s="13" t="s">
        <v>14</v>
      </c>
      <c r="B214" s="203">
        <v>44881</v>
      </c>
      <c r="C214" s="202" t="s">
        <v>88</v>
      </c>
      <c r="D214" s="197" t="s">
        <v>497</v>
      </c>
      <c r="E214" s="197" t="s">
        <v>498</v>
      </c>
      <c r="F214" s="197" t="s">
        <v>373</v>
      </c>
      <c r="G214" s="197" t="s">
        <v>97</v>
      </c>
      <c r="H214" s="197"/>
      <c r="I214" s="197" t="s">
        <v>499</v>
      </c>
      <c r="J214" s="197">
        <v>1213.51</v>
      </c>
      <c r="K214" s="13">
        <v>0</v>
      </c>
      <c r="L214" s="13">
        <v>6043.28</v>
      </c>
      <c r="M214" s="198">
        <f>+LISTA[[#This Row],[KILOS]]*25.37</f>
        <v>30786.7487</v>
      </c>
      <c r="N214" s="198"/>
      <c r="O214" s="13">
        <v>36830.03</v>
      </c>
      <c r="P214" s="81" t="s">
        <v>272</v>
      </c>
      <c r="Q214" s="123">
        <v>207</v>
      </c>
      <c r="R214" s="13">
        <v>0</v>
      </c>
      <c r="S214" s="13">
        <v>2998.7300447100001</v>
      </c>
      <c r="T214" s="13">
        <f>LISTA[[#This Row],[VALOR FINAL]]+LISTA[[#This Row],[TARIFA IN]]+LISTA[[#This Row],[TARIFA OUT ]]</f>
        <v>39828.760044709998</v>
      </c>
    </row>
    <row r="215" spans="1:20" x14ac:dyDescent="0.2">
      <c r="A215" s="13" t="s">
        <v>14</v>
      </c>
      <c r="B215" s="203">
        <v>44881</v>
      </c>
      <c r="C215" s="202" t="s">
        <v>91</v>
      </c>
      <c r="D215" s="14" t="s">
        <v>485</v>
      </c>
      <c r="E215" s="14" t="s">
        <v>196</v>
      </c>
      <c r="F215" s="14" t="s">
        <v>197</v>
      </c>
      <c r="G215" s="14" t="s">
        <v>39</v>
      </c>
      <c r="H215" s="14"/>
      <c r="I215" s="14" t="s">
        <v>165</v>
      </c>
      <c r="J215" s="14">
        <v>11.51</v>
      </c>
      <c r="K215" s="13">
        <v>0</v>
      </c>
      <c r="L215" s="13">
        <v>1021.38</v>
      </c>
      <c r="M215" s="13">
        <v>0</v>
      </c>
      <c r="N215" s="13">
        <v>0</v>
      </c>
      <c r="O215" s="76">
        <v>1021.38</v>
      </c>
      <c r="P215" s="81" t="s">
        <v>272</v>
      </c>
      <c r="Q215" s="123">
        <v>198</v>
      </c>
      <c r="R215" s="13">
        <v>0</v>
      </c>
      <c r="S215" s="13">
        <v>28.442602709999999</v>
      </c>
      <c r="T215" s="13">
        <f>LISTA[[#This Row],[VALOR FINAL]]+LISTA[[#This Row],[TARIFA IN]]+LISTA[[#This Row],[TARIFA OUT ]]</f>
        <v>1049.82260271</v>
      </c>
    </row>
    <row r="216" spans="1:20" x14ac:dyDescent="0.2">
      <c r="A216" s="13" t="s">
        <v>14</v>
      </c>
      <c r="B216" s="203">
        <v>44881</v>
      </c>
      <c r="C216" s="202" t="s">
        <v>88</v>
      </c>
      <c r="D216" s="197" t="s">
        <v>500</v>
      </c>
      <c r="E216" s="197" t="s">
        <v>501</v>
      </c>
      <c r="F216" s="197" t="s">
        <v>502</v>
      </c>
      <c r="G216" s="197" t="s">
        <v>39</v>
      </c>
      <c r="H216" s="197"/>
      <c r="I216" s="197" t="s">
        <v>503</v>
      </c>
      <c r="J216" s="197">
        <v>1270.0899999999999</v>
      </c>
      <c r="K216" s="13">
        <v>0</v>
      </c>
      <c r="L216" s="13">
        <v>6325.05</v>
      </c>
      <c r="M216" s="13">
        <v>0</v>
      </c>
      <c r="N216" s="13">
        <v>0</v>
      </c>
      <c r="O216" s="13">
        <v>6325.05</v>
      </c>
      <c r="P216" s="81" t="s">
        <v>272</v>
      </c>
      <c r="Q216" s="123">
        <v>208</v>
      </c>
      <c r="R216" s="13">
        <v>0</v>
      </c>
      <c r="S216" s="13">
        <v>3138.54607089</v>
      </c>
      <c r="T216" s="13">
        <f>LISTA[[#This Row],[VALOR FINAL]]+LISTA[[#This Row],[TARIFA IN]]+LISTA[[#This Row],[TARIFA OUT ]]</f>
        <v>9463.5960708900002</v>
      </c>
    </row>
    <row r="217" spans="1:20" x14ac:dyDescent="0.2">
      <c r="A217" s="13" t="s">
        <v>14</v>
      </c>
      <c r="B217" s="203">
        <v>44881</v>
      </c>
      <c r="C217" s="202" t="s">
        <v>88</v>
      </c>
      <c r="D217" s="197" t="s">
        <v>504</v>
      </c>
      <c r="E217" s="197" t="s">
        <v>394</v>
      </c>
      <c r="F217" s="197" t="s">
        <v>395</v>
      </c>
      <c r="G217" s="197" t="s">
        <v>39</v>
      </c>
      <c r="H217" s="197"/>
      <c r="I217" s="197" t="s">
        <v>167</v>
      </c>
      <c r="J217" s="197">
        <v>3732</v>
      </c>
      <c r="K217" s="13">
        <v>0</v>
      </c>
      <c r="L217" s="13">
        <v>18585.36</v>
      </c>
      <c r="M217" s="13">
        <v>0</v>
      </c>
      <c r="N217" s="13">
        <v>0</v>
      </c>
      <c r="O217" s="76">
        <v>18585.36</v>
      </c>
      <c r="P217" s="81" t="s">
        <v>272</v>
      </c>
      <c r="Q217" s="123">
        <v>209</v>
      </c>
      <c r="R217" s="13">
        <v>0</v>
      </c>
      <c r="S217" s="13">
        <v>9222.2235720000008</v>
      </c>
      <c r="T217" s="13">
        <f>LISTA[[#This Row],[VALOR FINAL]]+LISTA[[#This Row],[TARIFA IN]]+LISTA[[#This Row],[TARIFA OUT ]]</f>
        <v>27807.583572000003</v>
      </c>
    </row>
    <row r="218" spans="1:20" x14ac:dyDescent="0.2">
      <c r="A218" s="13" t="s">
        <v>14</v>
      </c>
      <c r="B218" s="203">
        <v>44881</v>
      </c>
      <c r="C218" s="202" t="s">
        <v>91</v>
      </c>
      <c r="D218" s="14" t="s">
        <v>486</v>
      </c>
      <c r="E218" s="14" t="s">
        <v>383</v>
      </c>
      <c r="F218" s="14" t="s">
        <v>384</v>
      </c>
      <c r="G218" s="14" t="s">
        <v>39</v>
      </c>
      <c r="H218" s="14"/>
      <c r="I218" s="14" t="s">
        <v>344</v>
      </c>
      <c r="J218" s="14">
        <v>202.34</v>
      </c>
      <c r="K218" s="13">
        <v>0</v>
      </c>
      <c r="L218" s="13">
        <v>1021.38</v>
      </c>
      <c r="M218" s="13">
        <v>0</v>
      </c>
      <c r="N218" s="13">
        <v>0</v>
      </c>
      <c r="O218" s="76">
        <v>1021.38</v>
      </c>
      <c r="P218" s="81" t="s">
        <v>272</v>
      </c>
      <c r="Q218" s="123">
        <v>199</v>
      </c>
      <c r="R218" s="13">
        <v>0</v>
      </c>
      <c r="S218" s="13">
        <v>500.00662314000004</v>
      </c>
      <c r="T218" s="13">
        <f>LISTA[[#This Row],[VALOR FINAL]]+LISTA[[#This Row],[TARIFA IN]]+LISTA[[#This Row],[TARIFA OUT ]]</f>
        <v>1521.38662314</v>
      </c>
    </row>
    <row r="219" spans="1:20" x14ac:dyDescent="0.2">
      <c r="A219" s="13" t="s">
        <v>14</v>
      </c>
      <c r="B219" s="203">
        <v>44881</v>
      </c>
      <c r="C219" s="202" t="s">
        <v>88</v>
      </c>
      <c r="D219" s="197" t="s">
        <v>505</v>
      </c>
      <c r="E219" s="197" t="s">
        <v>506</v>
      </c>
      <c r="F219" s="197" t="s">
        <v>373</v>
      </c>
      <c r="G219" s="197" t="s">
        <v>97</v>
      </c>
      <c r="H219" s="197"/>
      <c r="I219" s="197" t="s">
        <v>507</v>
      </c>
      <c r="J219" s="197">
        <v>902.4</v>
      </c>
      <c r="K219" s="13">
        <v>0</v>
      </c>
      <c r="L219" s="13">
        <v>4530.05</v>
      </c>
      <c r="M219" s="13">
        <v>18598.46</v>
      </c>
      <c r="N219" s="13">
        <v>0</v>
      </c>
      <c r="O219" s="76">
        <v>23128.51</v>
      </c>
      <c r="P219" s="81" t="s">
        <v>272</v>
      </c>
      <c r="Q219" s="123">
        <v>210</v>
      </c>
      <c r="R219" s="13">
        <v>0</v>
      </c>
      <c r="S219" s="13">
        <v>2229.9395904000003</v>
      </c>
      <c r="T219" s="13">
        <f>LISTA[[#This Row],[VALOR FINAL]]+LISTA[[#This Row],[TARIFA IN]]+LISTA[[#This Row],[TARIFA OUT ]]</f>
        <v>25358.4495904</v>
      </c>
    </row>
    <row r="220" spans="1:20" x14ac:dyDescent="0.2">
      <c r="A220" s="201" t="s">
        <v>82</v>
      </c>
      <c r="B220" s="203">
        <v>44882</v>
      </c>
      <c r="C220" s="14" t="s">
        <v>77</v>
      </c>
      <c r="D220" s="14">
        <v>6741</v>
      </c>
      <c r="E220" s="14" t="s">
        <v>146</v>
      </c>
      <c r="F220" s="14" t="s">
        <v>39</v>
      </c>
      <c r="G220" s="14" t="s">
        <v>39</v>
      </c>
      <c r="H220" s="14"/>
      <c r="I220" s="14" t="s">
        <v>45</v>
      </c>
      <c r="J220" s="14">
        <v>17600</v>
      </c>
      <c r="K220" s="13">
        <v>43077.1</v>
      </c>
      <c r="L220" s="13">
        <v>0</v>
      </c>
      <c r="M220" s="13">
        <v>0</v>
      </c>
      <c r="N220" s="13">
        <v>0</v>
      </c>
      <c r="O220" s="76">
        <v>43077.1</v>
      </c>
      <c r="P220" s="81" t="s">
        <v>272</v>
      </c>
      <c r="Q220" s="123">
        <v>220</v>
      </c>
      <c r="R220" s="13">
        <v>19455.392</v>
      </c>
      <c r="S220" s="13">
        <v>0</v>
      </c>
      <c r="T220" s="13">
        <f>LISTA[[#This Row],[VALOR FINAL]]+LISTA[[#This Row],[TARIFA IN]]+LISTA[[#This Row],[TARIFA OUT ]]</f>
        <v>62532.491999999998</v>
      </c>
    </row>
    <row r="221" spans="1:20" x14ac:dyDescent="0.2">
      <c r="A221" s="201" t="s">
        <v>82</v>
      </c>
      <c r="B221" s="203">
        <v>44882</v>
      </c>
      <c r="C221" s="14" t="s">
        <v>47</v>
      </c>
      <c r="D221" s="14" t="s">
        <v>530</v>
      </c>
      <c r="E221" s="14" t="s">
        <v>172</v>
      </c>
      <c r="F221" s="14" t="s">
        <v>39</v>
      </c>
      <c r="G221" s="14" t="s">
        <v>39</v>
      </c>
      <c r="H221" s="14"/>
      <c r="I221" s="14" t="s">
        <v>45</v>
      </c>
      <c r="J221" s="14">
        <v>12470</v>
      </c>
      <c r="K221" s="13">
        <v>43077.1</v>
      </c>
      <c r="L221" s="13">
        <v>0</v>
      </c>
      <c r="M221" s="13">
        <v>0</v>
      </c>
      <c r="N221" s="13">
        <v>0</v>
      </c>
      <c r="O221" s="76">
        <v>43077.1</v>
      </c>
      <c r="P221" s="81" t="s">
        <v>272</v>
      </c>
      <c r="Q221" s="123">
        <v>221</v>
      </c>
      <c r="R221" s="13">
        <v>13784.5874</v>
      </c>
      <c r="S221" s="13">
        <v>0</v>
      </c>
      <c r="T221" s="13">
        <f>LISTA[[#This Row],[VALOR FINAL]]+LISTA[[#This Row],[TARIFA IN]]+LISTA[[#This Row],[TARIFA OUT ]]</f>
        <v>56861.687399999995</v>
      </c>
    </row>
    <row r="222" spans="1:20" x14ac:dyDescent="0.2">
      <c r="A222" s="201" t="s">
        <v>184</v>
      </c>
      <c r="B222" s="203">
        <v>44882</v>
      </c>
      <c r="C222" s="14" t="s">
        <v>90</v>
      </c>
      <c r="D222" s="14">
        <v>78523</v>
      </c>
      <c r="E222" s="14" t="s">
        <v>273</v>
      </c>
      <c r="F222" s="14" t="s">
        <v>39</v>
      </c>
      <c r="G222" s="14" t="s">
        <v>39</v>
      </c>
      <c r="H222" s="14"/>
      <c r="I222" s="14" t="s">
        <v>531</v>
      </c>
      <c r="J222" s="14">
        <v>7070</v>
      </c>
      <c r="K222" s="13">
        <v>43077.1</v>
      </c>
      <c r="L222" s="13">
        <v>0</v>
      </c>
      <c r="M222" s="13">
        <v>0</v>
      </c>
      <c r="N222" s="13">
        <v>0</v>
      </c>
      <c r="O222" s="76">
        <v>43077.1</v>
      </c>
      <c r="P222" s="81" t="s">
        <v>272</v>
      </c>
      <c r="Q222" s="123">
        <v>222</v>
      </c>
      <c r="R222" s="13">
        <v>7815.3194000000003</v>
      </c>
      <c r="S222" s="13">
        <v>0</v>
      </c>
      <c r="T222" s="13">
        <f>LISTA[[#This Row],[VALOR FINAL]]+LISTA[[#This Row],[TARIFA IN]]+LISTA[[#This Row],[TARIFA OUT ]]</f>
        <v>50892.419399999999</v>
      </c>
    </row>
    <row r="223" spans="1:20" x14ac:dyDescent="0.2">
      <c r="A223" s="13" t="s">
        <v>14</v>
      </c>
      <c r="B223" s="203">
        <v>44881</v>
      </c>
      <c r="C223" s="202" t="s">
        <v>91</v>
      </c>
      <c r="D223" s="14" t="s">
        <v>487</v>
      </c>
      <c r="E223" s="14" t="s">
        <v>300</v>
      </c>
      <c r="F223" s="14" t="s">
        <v>301</v>
      </c>
      <c r="G223" s="14" t="s">
        <v>39</v>
      </c>
      <c r="H223" s="14"/>
      <c r="I223" s="14" t="s">
        <v>488</v>
      </c>
      <c r="J223" s="14">
        <v>468.63</v>
      </c>
      <c r="K223" s="13">
        <v>0</v>
      </c>
      <c r="L223" s="13">
        <v>2352.52</v>
      </c>
      <c r="M223" s="13">
        <v>0</v>
      </c>
      <c r="N223" s="13">
        <v>0</v>
      </c>
      <c r="O223" s="76">
        <v>2352.52</v>
      </c>
      <c r="P223" s="81" t="s">
        <v>272</v>
      </c>
      <c r="Q223" s="123">
        <v>200</v>
      </c>
      <c r="R223" s="13">
        <v>0</v>
      </c>
      <c r="S223" s="13">
        <v>1158.04143423</v>
      </c>
      <c r="T223" s="13">
        <f>LISTA[[#This Row],[VALOR FINAL]]+LISTA[[#This Row],[TARIFA IN]]+LISTA[[#This Row],[TARIFA OUT ]]</f>
        <v>3510.56143423</v>
      </c>
    </row>
    <row r="224" spans="1:20" x14ac:dyDescent="0.2">
      <c r="A224" s="13" t="s">
        <v>14</v>
      </c>
      <c r="B224" s="203">
        <v>44881</v>
      </c>
      <c r="C224" s="202" t="s">
        <v>88</v>
      </c>
      <c r="D224" s="14" t="s">
        <v>491</v>
      </c>
      <c r="E224" s="14" t="s">
        <v>492</v>
      </c>
      <c r="F224" s="14" t="s">
        <v>493</v>
      </c>
      <c r="G224" s="14" t="s">
        <v>39</v>
      </c>
      <c r="H224" s="14"/>
      <c r="I224" s="14" t="s">
        <v>328</v>
      </c>
      <c r="J224" s="14">
        <v>5013.5</v>
      </c>
      <c r="K224" s="13">
        <v>0</v>
      </c>
      <c r="L224" s="13">
        <v>16193.61</v>
      </c>
      <c r="M224" s="13">
        <v>0</v>
      </c>
      <c r="N224" s="13">
        <v>0</v>
      </c>
      <c r="O224" s="76">
        <v>16193.61</v>
      </c>
      <c r="P224" s="81" t="s">
        <v>272</v>
      </c>
      <c r="Q224" s="123">
        <v>203</v>
      </c>
      <c r="R224" s="13">
        <v>0</v>
      </c>
      <c r="S224" s="13">
        <v>12388.9651335</v>
      </c>
      <c r="T224" s="13">
        <f>LISTA[[#This Row],[VALOR FINAL]]+LISTA[[#This Row],[TARIFA IN]]+LISTA[[#This Row],[TARIFA OUT ]]</f>
        <v>28582.575133500002</v>
      </c>
    </row>
    <row r="225" spans="1:20" x14ac:dyDescent="0.2">
      <c r="A225" s="13" t="s">
        <v>14</v>
      </c>
      <c r="B225" s="203">
        <v>44881</v>
      </c>
      <c r="C225" s="202" t="s">
        <v>88</v>
      </c>
      <c r="D225" s="14" t="s">
        <v>494</v>
      </c>
      <c r="E225" s="14" t="s">
        <v>492</v>
      </c>
      <c r="F225" s="14" t="s">
        <v>493</v>
      </c>
      <c r="G225" s="14" t="s">
        <v>39</v>
      </c>
      <c r="H225" s="14"/>
      <c r="I225" s="14" t="s">
        <v>328</v>
      </c>
      <c r="J225" s="14">
        <v>402.46</v>
      </c>
      <c r="K225" s="13">
        <v>0</v>
      </c>
      <c r="L225" s="13">
        <v>2020.35</v>
      </c>
      <c r="M225" s="13">
        <v>0</v>
      </c>
      <c r="N225" s="13">
        <v>0</v>
      </c>
      <c r="O225" s="76">
        <v>2020.35</v>
      </c>
      <c r="P225" s="81" t="s">
        <v>272</v>
      </c>
      <c r="Q225" s="123">
        <v>204</v>
      </c>
      <c r="R225" s="13">
        <v>0</v>
      </c>
      <c r="S225" s="13">
        <v>994.52735766000001</v>
      </c>
      <c r="T225" s="13">
        <f>LISTA[[#This Row],[VALOR FINAL]]+LISTA[[#This Row],[TARIFA IN]]+LISTA[[#This Row],[TARIFA OUT ]]</f>
        <v>3014.8773576599997</v>
      </c>
    </row>
    <row r="226" spans="1:20" x14ac:dyDescent="0.2">
      <c r="A226" s="13" t="s">
        <v>14</v>
      </c>
      <c r="B226" s="203">
        <v>44881</v>
      </c>
      <c r="C226" s="202" t="s">
        <v>91</v>
      </c>
      <c r="D226" s="14" t="s">
        <v>489</v>
      </c>
      <c r="E226" s="14" t="s">
        <v>423</v>
      </c>
      <c r="F226" s="14" t="s">
        <v>424</v>
      </c>
      <c r="G226" s="14" t="s">
        <v>39</v>
      </c>
      <c r="H226" s="14"/>
      <c r="I226" s="14" t="s">
        <v>328</v>
      </c>
      <c r="J226" s="14">
        <v>420.16</v>
      </c>
      <c r="K226" s="13">
        <v>0</v>
      </c>
      <c r="L226" s="13">
        <v>2109.1999999999998</v>
      </c>
      <c r="M226" s="13">
        <v>0</v>
      </c>
      <c r="N226" s="13">
        <v>0</v>
      </c>
      <c r="O226" s="76">
        <v>2109.1999999999998</v>
      </c>
      <c r="P226" s="81" t="s">
        <v>272</v>
      </c>
      <c r="Q226" s="123">
        <v>201</v>
      </c>
      <c r="R226" s="13">
        <v>0</v>
      </c>
      <c r="S226" s="13">
        <v>1038.2661993600002</v>
      </c>
      <c r="T226" s="13">
        <f>LISTA[[#This Row],[VALOR FINAL]]+LISTA[[#This Row],[TARIFA IN]]+LISTA[[#This Row],[TARIFA OUT ]]</f>
        <v>3147.4661993600002</v>
      </c>
    </row>
    <row r="227" spans="1:20" x14ac:dyDescent="0.2">
      <c r="A227" s="13" t="s">
        <v>14</v>
      </c>
      <c r="B227" s="203">
        <v>44881</v>
      </c>
      <c r="C227" s="202" t="s">
        <v>88</v>
      </c>
      <c r="D227" s="14" t="s">
        <v>495</v>
      </c>
      <c r="E227" s="14" t="s">
        <v>492</v>
      </c>
      <c r="F227" s="14" t="s">
        <v>493</v>
      </c>
      <c r="G227" s="14" t="s">
        <v>39</v>
      </c>
      <c r="H227" s="14"/>
      <c r="I227" s="14" t="s">
        <v>328</v>
      </c>
      <c r="J227" s="14">
        <v>2755.29</v>
      </c>
      <c r="K227" s="13">
        <v>0</v>
      </c>
      <c r="L227" s="13">
        <v>13721.34</v>
      </c>
      <c r="M227" s="13">
        <v>0</v>
      </c>
      <c r="N227" s="13">
        <v>0</v>
      </c>
      <c r="O227" s="76">
        <v>13721.34</v>
      </c>
      <c r="P227" s="81" t="s">
        <v>272</v>
      </c>
      <c r="Q227" s="123">
        <v>205</v>
      </c>
      <c r="R227" s="13">
        <v>0</v>
      </c>
      <c r="S227" s="13">
        <v>6808.6549800900002</v>
      </c>
      <c r="T227" s="13">
        <f>LISTA[[#This Row],[VALOR FINAL]]+LISTA[[#This Row],[TARIFA IN]]+LISTA[[#This Row],[TARIFA OUT ]]</f>
        <v>20529.994980089999</v>
      </c>
    </row>
    <row r="228" spans="1:20" x14ac:dyDescent="0.2">
      <c r="A228" s="13" t="s">
        <v>14</v>
      </c>
      <c r="B228" s="203">
        <v>44881</v>
      </c>
      <c r="C228" s="202" t="s">
        <v>88</v>
      </c>
      <c r="D228" s="197" t="s">
        <v>508</v>
      </c>
      <c r="E228" s="197" t="s">
        <v>501</v>
      </c>
      <c r="F228" s="197" t="s">
        <v>502</v>
      </c>
      <c r="G228" s="197" t="s">
        <v>39</v>
      </c>
      <c r="H228" s="197"/>
      <c r="I228" s="197" t="s">
        <v>503</v>
      </c>
      <c r="J228" s="197">
        <v>110.4</v>
      </c>
      <c r="K228" s="13">
        <v>0</v>
      </c>
      <c r="L228" s="13">
        <v>1021.38</v>
      </c>
      <c r="M228" s="13">
        <v>0</v>
      </c>
      <c r="N228" s="13">
        <v>0</v>
      </c>
      <c r="O228" s="76">
        <v>1021.38</v>
      </c>
      <c r="P228" s="81" t="s">
        <v>272</v>
      </c>
      <c r="Q228" s="123">
        <v>211</v>
      </c>
      <c r="R228" s="13">
        <v>0</v>
      </c>
      <c r="S228" s="13">
        <v>272.81175840000003</v>
      </c>
      <c r="T228" s="13">
        <f>LISTA[[#This Row],[VALOR FINAL]]+LISTA[[#This Row],[TARIFA IN]]+LISTA[[#This Row],[TARIFA OUT ]]</f>
        <v>1294.1917584</v>
      </c>
    </row>
    <row r="229" spans="1:20" x14ac:dyDescent="0.2">
      <c r="A229" s="13" t="s">
        <v>14</v>
      </c>
      <c r="B229" s="203">
        <v>44881</v>
      </c>
      <c r="C229" s="202" t="s">
        <v>38</v>
      </c>
      <c r="D229" s="14" t="s">
        <v>522</v>
      </c>
      <c r="E229" s="14" t="s">
        <v>523</v>
      </c>
      <c r="F229" s="14" t="s">
        <v>524</v>
      </c>
      <c r="G229" s="14" t="s">
        <v>39</v>
      </c>
      <c r="H229" s="14"/>
      <c r="I229" s="14" t="s">
        <v>525</v>
      </c>
      <c r="J229" s="14">
        <v>1647.42</v>
      </c>
      <c r="K229" s="13">
        <v>0</v>
      </c>
      <c r="L229" s="13">
        <v>8204.15</v>
      </c>
      <c r="M229" s="13"/>
      <c r="N229" s="13">
        <v>0</v>
      </c>
      <c r="O229" s="76">
        <v>8204.15</v>
      </c>
      <c r="P229" s="81" t="s">
        <v>272</v>
      </c>
      <c r="Q229" s="123">
        <v>218</v>
      </c>
      <c r="R229" s="13">
        <v>0</v>
      </c>
      <c r="S229" s="13">
        <v>4070.9741578200005</v>
      </c>
      <c r="T229" s="13">
        <f>LISTA[[#This Row],[VALOR FINAL]]+LISTA[[#This Row],[TARIFA IN]]+LISTA[[#This Row],[TARIFA OUT ]]</f>
        <v>12275.124157820001</v>
      </c>
    </row>
    <row r="230" spans="1:20" x14ac:dyDescent="0.2">
      <c r="A230" s="13" t="s">
        <v>14</v>
      </c>
      <c r="B230" s="203">
        <v>44881</v>
      </c>
      <c r="C230" s="202" t="s">
        <v>91</v>
      </c>
      <c r="D230" s="14" t="s">
        <v>490</v>
      </c>
      <c r="E230" s="14" t="s">
        <v>311</v>
      </c>
      <c r="F230" s="14" t="s">
        <v>123</v>
      </c>
      <c r="G230" s="14" t="s">
        <v>39</v>
      </c>
      <c r="H230" s="14"/>
      <c r="I230" s="14" t="s">
        <v>312</v>
      </c>
      <c r="J230" s="14">
        <v>147.19999999999999</v>
      </c>
      <c r="K230" s="13">
        <v>0</v>
      </c>
      <c r="L230" s="13">
        <v>1036.48</v>
      </c>
      <c r="M230" s="13">
        <v>0</v>
      </c>
      <c r="N230" s="13">
        <v>0</v>
      </c>
      <c r="O230" s="76">
        <v>1036.48</v>
      </c>
      <c r="P230" s="81" t="s">
        <v>272</v>
      </c>
      <c r="Q230" s="123">
        <v>202</v>
      </c>
      <c r="R230" s="13">
        <v>0</v>
      </c>
      <c r="S230" s="13">
        <v>363.74901119999998</v>
      </c>
      <c r="T230" s="13">
        <f>LISTA[[#This Row],[VALOR FINAL]]+LISTA[[#This Row],[TARIFA IN]]+LISTA[[#This Row],[TARIFA OUT ]]</f>
        <v>1400.2290112000001</v>
      </c>
    </row>
    <row r="231" spans="1:20" x14ac:dyDescent="0.2">
      <c r="A231" s="13" t="s">
        <v>14</v>
      </c>
      <c r="B231" s="203">
        <v>44881</v>
      </c>
      <c r="C231" s="202" t="s">
        <v>88</v>
      </c>
      <c r="D231" s="197" t="s">
        <v>509</v>
      </c>
      <c r="E231" s="197" t="s">
        <v>510</v>
      </c>
      <c r="F231" s="197" t="s">
        <v>210</v>
      </c>
      <c r="G231" s="197" t="s">
        <v>97</v>
      </c>
      <c r="H231" s="197"/>
      <c r="I231" s="197" t="s">
        <v>511</v>
      </c>
      <c r="J231" s="197">
        <v>1189.7</v>
      </c>
      <c r="K231" s="13">
        <v>0</v>
      </c>
      <c r="L231" s="13">
        <v>5924.71</v>
      </c>
      <c r="M231" s="13">
        <v>24674.38</v>
      </c>
      <c r="N231" s="13">
        <v>0</v>
      </c>
      <c r="O231" s="76">
        <v>30599.08</v>
      </c>
      <c r="P231" s="81" t="s">
        <v>272</v>
      </c>
      <c r="Q231" s="123">
        <v>212</v>
      </c>
      <c r="R231" s="13">
        <v>0</v>
      </c>
      <c r="S231" s="13">
        <v>2939.8926537000002</v>
      </c>
      <c r="T231" s="13">
        <f>LISTA[[#This Row],[VALOR FINAL]]+LISTA[[#This Row],[TARIFA IN]]+LISTA[[#This Row],[TARIFA OUT ]]</f>
        <v>33538.972653700002</v>
      </c>
    </row>
    <row r="232" spans="1:20" x14ac:dyDescent="0.2">
      <c r="A232" s="13" t="s">
        <v>14</v>
      </c>
      <c r="B232" s="203">
        <v>44881</v>
      </c>
      <c r="C232" s="202" t="s">
        <v>88</v>
      </c>
      <c r="D232" s="197" t="s">
        <v>512</v>
      </c>
      <c r="E232" s="197" t="s">
        <v>513</v>
      </c>
      <c r="F232" s="197" t="s">
        <v>210</v>
      </c>
      <c r="G232" s="197" t="s">
        <v>97</v>
      </c>
      <c r="H232" s="197"/>
      <c r="I232" s="197" t="s">
        <v>514</v>
      </c>
      <c r="J232" s="197">
        <v>18.7</v>
      </c>
      <c r="K232" s="13">
        <v>0</v>
      </c>
      <c r="L232" s="13">
        <v>1021.38</v>
      </c>
      <c r="M232" s="13">
        <v>1969.39</v>
      </c>
      <c r="N232" s="13">
        <v>0</v>
      </c>
      <c r="O232" s="76">
        <v>2990.77</v>
      </c>
      <c r="P232" s="81" t="s">
        <v>272</v>
      </c>
      <c r="Q232" s="123">
        <v>213</v>
      </c>
      <c r="R232" s="13">
        <v>0</v>
      </c>
      <c r="S232" s="13">
        <v>46.209962699999998</v>
      </c>
      <c r="T232" s="13">
        <f>LISTA[[#This Row],[VALOR FINAL]]+LISTA[[#This Row],[TARIFA IN]]+LISTA[[#This Row],[TARIFA OUT ]]</f>
        <v>3036.9799626999998</v>
      </c>
    </row>
    <row r="233" spans="1:20" x14ac:dyDescent="0.2">
      <c r="A233" s="13" t="s">
        <v>14</v>
      </c>
      <c r="B233" s="203">
        <v>44881</v>
      </c>
      <c r="C233" s="202" t="s">
        <v>38</v>
      </c>
      <c r="D233" s="14" t="s">
        <v>526</v>
      </c>
      <c r="E233" s="14" t="s">
        <v>527</v>
      </c>
      <c r="F233" s="14" t="s">
        <v>528</v>
      </c>
      <c r="G233" s="14" t="s">
        <v>39</v>
      </c>
      <c r="H233" s="14"/>
      <c r="I233" s="14" t="s">
        <v>529</v>
      </c>
      <c r="J233" s="14">
        <v>3148.93</v>
      </c>
      <c r="K233" s="13">
        <v>0</v>
      </c>
      <c r="L233" s="13">
        <v>15681.67</v>
      </c>
      <c r="M233" s="13"/>
      <c r="N233" s="13">
        <v>0</v>
      </c>
      <c r="O233" s="76">
        <v>15681.67</v>
      </c>
      <c r="P233" s="81" t="s">
        <v>272</v>
      </c>
      <c r="Q233" s="123">
        <v>219</v>
      </c>
      <c r="R233" s="13">
        <v>0</v>
      </c>
      <c r="S233" s="13">
        <v>7781.3870505300001</v>
      </c>
      <c r="T233" s="13">
        <f>LISTA[[#This Row],[VALOR FINAL]]+LISTA[[#This Row],[TARIFA IN]]+LISTA[[#This Row],[TARIFA OUT ]]</f>
        <v>23463.057050529998</v>
      </c>
    </row>
    <row r="234" spans="1:20" x14ac:dyDescent="0.2">
      <c r="A234" s="201" t="s">
        <v>16</v>
      </c>
      <c r="B234" s="203">
        <v>44882</v>
      </c>
      <c r="C234" s="14" t="s">
        <v>38</v>
      </c>
      <c r="D234" s="14" t="s">
        <v>555</v>
      </c>
      <c r="E234" s="14" t="s">
        <v>556</v>
      </c>
      <c r="F234" s="14" t="s">
        <v>39</v>
      </c>
      <c r="G234" s="14" t="s">
        <v>39</v>
      </c>
      <c r="H234" s="14"/>
      <c r="I234" s="14" t="s">
        <v>92</v>
      </c>
      <c r="J234" s="14">
        <v>410</v>
      </c>
      <c r="K234" s="13">
        <v>2058.1999999999998</v>
      </c>
      <c r="L234" s="13">
        <v>0</v>
      </c>
      <c r="M234" s="13">
        <v>0</v>
      </c>
      <c r="N234" s="13">
        <v>0</v>
      </c>
      <c r="O234" s="76">
        <v>2058.1999999999998</v>
      </c>
      <c r="P234" s="81" t="s">
        <v>272</v>
      </c>
      <c r="Q234" s="123">
        <v>234</v>
      </c>
      <c r="R234" s="13">
        <v>453.22220000000004</v>
      </c>
      <c r="S234" s="13">
        <v>0</v>
      </c>
      <c r="T234" s="13">
        <f>LISTA[[#This Row],[VALOR FINAL]]+LISTA[[#This Row],[TARIFA IN]]+LISTA[[#This Row],[TARIFA OUT ]]</f>
        <v>2511.4222</v>
      </c>
    </row>
    <row r="235" spans="1:20" x14ac:dyDescent="0.2">
      <c r="A235" s="13" t="s">
        <v>14</v>
      </c>
      <c r="B235" s="203">
        <v>44882</v>
      </c>
      <c r="C235" s="202" t="s">
        <v>89</v>
      </c>
      <c r="D235" s="14" t="s">
        <v>569</v>
      </c>
      <c r="E235" s="14" t="s">
        <v>294</v>
      </c>
      <c r="F235" s="14" t="s">
        <v>123</v>
      </c>
      <c r="G235" s="14" t="s">
        <v>39</v>
      </c>
      <c r="H235" s="14"/>
      <c r="I235" s="14" t="s">
        <v>295</v>
      </c>
      <c r="J235" s="14">
        <v>368.26</v>
      </c>
      <c r="K235" s="13">
        <v>0</v>
      </c>
      <c r="L235" s="13">
        <v>1874.44</v>
      </c>
      <c r="M235" s="13"/>
      <c r="N235" s="13">
        <v>0</v>
      </c>
      <c r="O235" s="76">
        <v>1874.44</v>
      </c>
      <c r="P235" s="81" t="s">
        <v>272</v>
      </c>
      <c r="Q235" s="123">
        <v>241</v>
      </c>
      <c r="R235" s="13">
        <v>0</v>
      </c>
      <c r="S235" s="13">
        <v>910.01501946000008</v>
      </c>
      <c r="T235" s="13">
        <f>LISTA[[#This Row],[VALOR FINAL]]+LISTA[[#This Row],[TARIFA IN]]+LISTA[[#This Row],[TARIFA OUT ]]</f>
        <v>2784.4550194600001</v>
      </c>
    </row>
    <row r="236" spans="1:20" x14ac:dyDescent="0.2">
      <c r="A236" s="13" t="s">
        <v>14</v>
      </c>
      <c r="B236" s="203">
        <v>44882</v>
      </c>
      <c r="C236" s="202" t="s">
        <v>38</v>
      </c>
      <c r="D236" s="14" t="s">
        <v>532</v>
      </c>
      <c r="E236" s="14" t="s">
        <v>533</v>
      </c>
      <c r="F236" s="14" t="s">
        <v>373</v>
      </c>
      <c r="G236" s="14" t="s">
        <v>97</v>
      </c>
      <c r="H236" s="14"/>
      <c r="I236" s="14" t="s">
        <v>554</v>
      </c>
      <c r="J236" s="14">
        <v>1984.88</v>
      </c>
      <c r="K236" s="13"/>
      <c r="L236" s="13">
        <v>9884.7000000000007</v>
      </c>
      <c r="M236" s="13">
        <v>43329.93</v>
      </c>
      <c r="N236" s="13">
        <v>0</v>
      </c>
      <c r="O236" s="76">
        <v>53214.63</v>
      </c>
      <c r="P236" s="81" t="s">
        <v>272</v>
      </c>
      <c r="Q236" s="123">
        <v>223</v>
      </c>
      <c r="R236" s="13">
        <v>0</v>
      </c>
      <c r="S236" s="13">
        <v>4904.8786504800009</v>
      </c>
      <c r="T236" s="13">
        <f>LISTA[[#This Row],[VALOR FINAL]]+LISTA[[#This Row],[TARIFA IN]]+LISTA[[#This Row],[TARIFA OUT ]]</f>
        <v>58119.508650479998</v>
      </c>
    </row>
    <row r="237" spans="1:20" x14ac:dyDescent="0.2">
      <c r="A237" s="13" t="s">
        <v>14</v>
      </c>
      <c r="B237" s="203">
        <v>44882</v>
      </c>
      <c r="C237" s="202" t="s">
        <v>90</v>
      </c>
      <c r="D237" s="14" t="s">
        <v>559</v>
      </c>
      <c r="E237" s="14" t="s">
        <v>560</v>
      </c>
      <c r="F237" s="14" t="s">
        <v>561</v>
      </c>
      <c r="G237" s="14" t="s">
        <v>39</v>
      </c>
      <c r="H237" s="14"/>
      <c r="I237" s="14" t="s">
        <v>562</v>
      </c>
      <c r="J237" s="14">
        <v>1241.48</v>
      </c>
      <c r="K237" s="13">
        <v>0</v>
      </c>
      <c r="L237" s="13">
        <v>6182.57</v>
      </c>
      <c r="M237" s="13"/>
      <c r="N237" s="13">
        <v>0</v>
      </c>
      <c r="O237" s="76">
        <v>6182.57</v>
      </c>
      <c r="P237" s="81" t="s">
        <v>272</v>
      </c>
      <c r="Q237" s="123">
        <v>237</v>
      </c>
      <c r="R237" s="13">
        <v>0</v>
      </c>
      <c r="S237" s="13">
        <v>3067.8472990800001</v>
      </c>
      <c r="T237" s="13">
        <f>LISTA[[#This Row],[VALOR FINAL]]+LISTA[[#This Row],[TARIFA IN]]+LISTA[[#This Row],[TARIFA OUT ]]</f>
        <v>9250.4172990799998</v>
      </c>
    </row>
    <row r="238" spans="1:20" x14ac:dyDescent="0.2">
      <c r="A238" s="13" t="s">
        <v>14</v>
      </c>
      <c r="B238" s="203">
        <v>44882</v>
      </c>
      <c r="C238" s="202" t="s">
        <v>91</v>
      </c>
      <c r="D238" s="14" t="s">
        <v>572</v>
      </c>
      <c r="E238" s="14" t="s">
        <v>290</v>
      </c>
      <c r="F238" s="14" t="s">
        <v>291</v>
      </c>
      <c r="G238" s="14" t="s">
        <v>39</v>
      </c>
      <c r="H238" s="14"/>
      <c r="I238" s="14" t="s">
        <v>292</v>
      </c>
      <c r="J238" s="14">
        <v>93.9</v>
      </c>
      <c r="K238" s="13">
        <v>0</v>
      </c>
      <c r="L238" s="13">
        <v>1021.38</v>
      </c>
      <c r="M238" s="13">
        <v>0</v>
      </c>
      <c r="N238" s="13">
        <v>0</v>
      </c>
      <c r="O238" s="76">
        <v>1021.38</v>
      </c>
      <c r="P238" s="81" t="s">
        <v>272</v>
      </c>
      <c r="Q238" s="123">
        <v>244</v>
      </c>
      <c r="R238" s="13">
        <v>0</v>
      </c>
      <c r="S238" s="13">
        <v>232.03826190000004</v>
      </c>
      <c r="T238" s="13">
        <f>LISTA[[#This Row],[VALOR FINAL]]+LISTA[[#This Row],[TARIFA IN]]+LISTA[[#This Row],[TARIFA OUT ]]</f>
        <v>1253.4182619000001</v>
      </c>
    </row>
    <row r="239" spans="1:20" x14ac:dyDescent="0.2">
      <c r="A239" s="13" t="s">
        <v>14</v>
      </c>
      <c r="B239" s="203">
        <v>44882</v>
      </c>
      <c r="C239" s="202" t="s">
        <v>90</v>
      </c>
      <c r="D239" s="14" t="s">
        <v>563</v>
      </c>
      <c r="E239" s="14" t="s">
        <v>560</v>
      </c>
      <c r="F239" s="14" t="s">
        <v>561</v>
      </c>
      <c r="G239" s="14" t="s">
        <v>39</v>
      </c>
      <c r="H239" s="14"/>
      <c r="I239" s="14" t="s">
        <v>562</v>
      </c>
      <c r="J239" s="14">
        <v>741.18</v>
      </c>
      <c r="K239" s="13">
        <v>0</v>
      </c>
      <c r="L239" s="13">
        <v>3720.72</v>
      </c>
      <c r="M239" s="13"/>
      <c r="N239" s="13">
        <v>0</v>
      </c>
      <c r="O239" s="76">
        <v>3720.72</v>
      </c>
      <c r="P239" s="81" t="s">
        <v>272</v>
      </c>
      <c r="Q239" s="123">
        <v>238</v>
      </c>
      <c r="R239" s="13">
        <v>0</v>
      </c>
      <c r="S239" s="13">
        <v>1831.54546278</v>
      </c>
      <c r="T239" s="13">
        <f>LISTA[[#This Row],[VALOR FINAL]]+LISTA[[#This Row],[TARIFA IN]]+LISTA[[#This Row],[TARIFA OUT ]]</f>
        <v>5552.2654627800002</v>
      </c>
    </row>
    <row r="240" spans="1:20" x14ac:dyDescent="0.2">
      <c r="A240" s="13" t="s">
        <v>14</v>
      </c>
      <c r="B240" s="203">
        <v>44884</v>
      </c>
      <c r="C240" s="202" t="s">
        <v>44</v>
      </c>
      <c r="D240" s="14" t="s">
        <v>599</v>
      </c>
      <c r="E240" s="14" t="s">
        <v>590</v>
      </c>
      <c r="F240" s="14" t="s">
        <v>123</v>
      </c>
      <c r="G240" s="14" t="s">
        <v>39</v>
      </c>
      <c r="H240" s="14"/>
      <c r="I240" s="14" t="s">
        <v>591</v>
      </c>
      <c r="J240" s="14">
        <v>4203.32</v>
      </c>
      <c r="K240" s="13">
        <v>0</v>
      </c>
      <c r="L240" s="13">
        <v>13576.72</v>
      </c>
      <c r="M240" s="13">
        <v>0</v>
      </c>
      <c r="N240" s="13">
        <v>0</v>
      </c>
      <c r="O240" s="76">
        <v>13576.72</v>
      </c>
      <c r="P240" s="81" t="s">
        <v>272</v>
      </c>
      <c r="Q240" s="123">
        <v>289</v>
      </c>
      <c r="R240" s="13"/>
      <c r="S240" s="13"/>
      <c r="T240" s="13">
        <f>LISTA[[#This Row],[VALOR FINAL]]+LISTA[[#This Row],[TARIFA IN]]+LISTA[[#This Row],[TARIFA OUT ]]</f>
        <v>13576.72</v>
      </c>
    </row>
    <row r="241" spans="1:20" x14ac:dyDescent="0.2">
      <c r="A241" s="13" t="s">
        <v>14</v>
      </c>
      <c r="B241" s="203">
        <v>44884</v>
      </c>
      <c r="C241" s="202" t="s">
        <v>44</v>
      </c>
      <c r="D241" s="14" t="s">
        <v>600</v>
      </c>
      <c r="E241" s="14" t="s">
        <v>590</v>
      </c>
      <c r="F241" s="14" t="s">
        <v>123</v>
      </c>
      <c r="G241" s="14" t="s">
        <v>39</v>
      </c>
      <c r="H241" s="14"/>
      <c r="I241" s="14" t="s">
        <v>591</v>
      </c>
      <c r="J241" s="14">
        <v>3280.94</v>
      </c>
      <c r="K241" s="13">
        <v>0</v>
      </c>
      <c r="L241" s="13">
        <v>16339.08</v>
      </c>
      <c r="M241" s="13">
        <v>0</v>
      </c>
      <c r="N241" s="13">
        <v>0</v>
      </c>
      <c r="O241" s="13">
        <v>16339.08</v>
      </c>
      <c r="P241" s="81" t="s">
        <v>272</v>
      </c>
      <c r="Q241" s="123">
        <v>290</v>
      </c>
      <c r="R241" s="13"/>
      <c r="S241" s="13"/>
      <c r="T241" s="13">
        <f>LISTA[[#This Row],[VALOR FINAL]]+LISTA[[#This Row],[TARIFA IN]]+LISTA[[#This Row],[TARIFA OUT ]]</f>
        <v>16339.08</v>
      </c>
    </row>
    <row r="242" spans="1:20" x14ac:dyDescent="0.2">
      <c r="A242" s="13" t="s">
        <v>14</v>
      </c>
      <c r="B242" s="203">
        <v>44884</v>
      </c>
      <c r="C242" s="202" t="s">
        <v>44</v>
      </c>
      <c r="D242" s="14" t="s">
        <v>601</v>
      </c>
      <c r="E242" s="14" t="s">
        <v>590</v>
      </c>
      <c r="F242" s="14" t="s">
        <v>123</v>
      </c>
      <c r="G242" s="14" t="s">
        <v>39</v>
      </c>
      <c r="H242" s="14"/>
      <c r="I242" s="14" t="s">
        <v>591</v>
      </c>
      <c r="J242" s="14">
        <v>187.8</v>
      </c>
      <c r="K242" s="13">
        <v>0</v>
      </c>
      <c r="L242" s="13">
        <v>1021.38</v>
      </c>
      <c r="M242" s="13">
        <v>0</v>
      </c>
      <c r="N242" s="13">
        <v>0</v>
      </c>
      <c r="O242" s="13">
        <v>1021.38</v>
      </c>
      <c r="P242" s="81" t="s">
        <v>272</v>
      </c>
      <c r="Q242" s="123">
        <v>291</v>
      </c>
      <c r="R242" s="13"/>
      <c r="S242" s="13"/>
      <c r="T242" s="13">
        <f>LISTA[[#This Row],[VALOR FINAL]]+LISTA[[#This Row],[TARIFA IN]]+LISTA[[#This Row],[TARIFA OUT ]]</f>
        <v>1021.38</v>
      </c>
    </row>
    <row r="243" spans="1:20" x14ac:dyDescent="0.2">
      <c r="A243" s="13" t="s">
        <v>14</v>
      </c>
      <c r="B243" s="203">
        <v>44884</v>
      </c>
      <c r="C243" s="202" t="s">
        <v>44</v>
      </c>
      <c r="D243" s="14" t="s">
        <v>602</v>
      </c>
      <c r="E243" s="14" t="s">
        <v>590</v>
      </c>
      <c r="F243" s="14" t="s">
        <v>123</v>
      </c>
      <c r="G243" s="14" t="s">
        <v>39</v>
      </c>
      <c r="H243" s="14"/>
      <c r="I243" s="14" t="s">
        <v>591</v>
      </c>
      <c r="J243" s="14">
        <v>2292.7199999999998</v>
      </c>
      <c r="K243" s="13">
        <v>0</v>
      </c>
      <c r="L243" s="13">
        <v>11417.75</v>
      </c>
      <c r="M243" s="13">
        <v>0</v>
      </c>
      <c r="N243" s="13">
        <v>0</v>
      </c>
      <c r="O243" s="13">
        <v>11417.75</v>
      </c>
      <c r="P243" s="81" t="s">
        <v>272</v>
      </c>
      <c r="Q243" s="123">
        <v>292</v>
      </c>
      <c r="R243" s="13"/>
      <c r="S243" s="13"/>
      <c r="T243" s="13">
        <f>LISTA[[#This Row],[VALOR FINAL]]+LISTA[[#This Row],[TARIFA IN]]+LISTA[[#This Row],[TARIFA OUT ]]</f>
        <v>11417.75</v>
      </c>
    </row>
    <row r="244" spans="1:20" x14ac:dyDescent="0.2">
      <c r="A244" s="13" t="s">
        <v>14</v>
      </c>
      <c r="B244" s="203">
        <v>44882</v>
      </c>
      <c r="C244" s="202" t="s">
        <v>148</v>
      </c>
      <c r="D244" s="14" t="s">
        <v>577</v>
      </c>
      <c r="E244" s="14" t="s">
        <v>346</v>
      </c>
      <c r="F244" s="14" t="s">
        <v>123</v>
      </c>
      <c r="G244" s="14" t="s">
        <v>39</v>
      </c>
      <c r="H244" s="14"/>
      <c r="I244" s="14" t="s">
        <v>347</v>
      </c>
      <c r="J244" s="14">
        <v>3056.96</v>
      </c>
      <c r="K244" s="13">
        <v>0</v>
      </c>
      <c r="L244" s="13">
        <v>15498.79</v>
      </c>
      <c r="M244" s="13"/>
      <c r="N244" s="13">
        <v>0</v>
      </c>
      <c r="O244" s="76">
        <v>15498.79</v>
      </c>
      <c r="P244" s="81" t="s">
        <v>272</v>
      </c>
      <c r="Q244" s="123">
        <v>249</v>
      </c>
      <c r="R244" s="13">
        <v>0</v>
      </c>
      <c r="S244" s="13">
        <v>7554.1180521600008</v>
      </c>
      <c r="T244" s="13">
        <f>LISTA[[#This Row],[VALOR FINAL]]+LISTA[[#This Row],[TARIFA IN]]+LISTA[[#This Row],[TARIFA OUT ]]</f>
        <v>23052.908052160001</v>
      </c>
    </row>
    <row r="245" spans="1:20" x14ac:dyDescent="0.2">
      <c r="A245" s="13" t="s">
        <v>14</v>
      </c>
      <c r="B245" s="203">
        <v>44882</v>
      </c>
      <c r="C245" s="202" t="s">
        <v>89</v>
      </c>
      <c r="D245" s="14" t="s">
        <v>570</v>
      </c>
      <c r="E245" s="14" t="s">
        <v>294</v>
      </c>
      <c r="F245" s="14" t="s">
        <v>123</v>
      </c>
      <c r="G245" s="14" t="s">
        <v>39</v>
      </c>
      <c r="H245" s="14"/>
      <c r="I245" s="14" t="s">
        <v>295</v>
      </c>
      <c r="J245" s="14">
        <v>3048.48</v>
      </c>
      <c r="K245" s="13">
        <v>0</v>
      </c>
      <c r="L245" s="13">
        <f>+LISTA[[#This Row],[KILOS]]*5.07</f>
        <v>15455.793600000001</v>
      </c>
      <c r="M245" s="13"/>
      <c r="N245" s="13">
        <v>0</v>
      </c>
      <c r="O245" s="76">
        <f>+LISTA[[#This Row],[KILOS]]*5.07</f>
        <v>15455.793600000001</v>
      </c>
      <c r="P245" s="81" t="s">
        <v>272</v>
      </c>
      <c r="Q245" s="123">
        <v>242</v>
      </c>
      <c r="R245" s="13">
        <v>0</v>
      </c>
      <c r="S245" s="13">
        <v>7533.1629460800004</v>
      </c>
      <c r="T245" s="13">
        <f>LISTA[[#This Row],[VALOR FINAL]]+LISTA[[#This Row],[TARIFA IN]]+LISTA[[#This Row],[TARIFA OUT ]]</f>
        <v>22988.95654608</v>
      </c>
    </row>
    <row r="246" spans="1:20" x14ac:dyDescent="0.2">
      <c r="A246" s="13" t="s">
        <v>14</v>
      </c>
      <c r="B246" s="203">
        <v>44882</v>
      </c>
      <c r="C246" s="202" t="s">
        <v>89</v>
      </c>
      <c r="D246" s="14" t="s">
        <v>571</v>
      </c>
      <c r="E246" s="14" t="s">
        <v>294</v>
      </c>
      <c r="F246" s="14" t="s">
        <v>123</v>
      </c>
      <c r="G246" s="14" t="s">
        <v>39</v>
      </c>
      <c r="H246" s="14"/>
      <c r="I246" s="14" t="s">
        <v>295</v>
      </c>
      <c r="J246" s="14">
        <v>4678.92</v>
      </c>
      <c r="K246" s="13">
        <v>0</v>
      </c>
      <c r="L246" s="13">
        <f>+LISTA[[#This Row],[KILOS]]*3.29</f>
        <v>15393.6468</v>
      </c>
      <c r="M246" s="13"/>
      <c r="N246" s="13">
        <v>0</v>
      </c>
      <c r="O246" s="76">
        <f>+LISTA[[#This Row],[KILOS]]*3.29</f>
        <v>15393.6468</v>
      </c>
      <c r="P246" s="81" t="s">
        <v>272</v>
      </c>
      <c r="Q246" s="123">
        <v>243</v>
      </c>
      <c r="R246" s="13">
        <v>0</v>
      </c>
      <c r="S246" s="13">
        <v>11562.17746932</v>
      </c>
      <c r="T246" s="13">
        <f>LISTA[[#This Row],[VALOR FINAL]]+LISTA[[#This Row],[TARIFA IN]]+LISTA[[#This Row],[TARIFA OUT ]]</f>
        <v>26955.824269320001</v>
      </c>
    </row>
    <row r="247" spans="1:20" x14ac:dyDescent="0.2">
      <c r="A247" s="13" t="s">
        <v>14</v>
      </c>
      <c r="B247" s="203">
        <v>44887</v>
      </c>
      <c r="C247" s="202" t="s">
        <v>88</v>
      </c>
      <c r="D247" s="14" t="s">
        <v>648</v>
      </c>
      <c r="E247" s="14" t="s">
        <v>294</v>
      </c>
      <c r="F247" s="14" t="s">
        <v>123</v>
      </c>
      <c r="G247" s="14" t="s">
        <v>39</v>
      </c>
      <c r="H247" s="14"/>
      <c r="I247" s="14" t="s">
        <v>295</v>
      </c>
      <c r="J247" s="14">
        <v>4739.22</v>
      </c>
      <c r="K247" s="13">
        <v>0</v>
      </c>
      <c r="L247" s="13">
        <v>24027.85</v>
      </c>
      <c r="M247" s="13">
        <v>0</v>
      </c>
      <c r="N247" s="13">
        <v>0</v>
      </c>
      <c r="O247" s="76">
        <v>24027.85</v>
      </c>
      <c r="P247" s="81" t="s">
        <v>272</v>
      </c>
      <c r="Q247" s="123">
        <v>322</v>
      </c>
      <c r="R247" s="13"/>
      <c r="S247" s="13"/>
      <c r="T247" s="13">
        <f>LISTA[[#This Row],[TARIFA OUT ]]+LISTA[[#This Row],[TARIFA IN]]+LISTA[[#This Row],[VALOR FINAL]]</f>
        <v>24027.85</v>
      </c>
    </row>
    <row r="248" spans="1:20" x14ac:dyDescent="0.2">
      <c r="A248" s="13" t="s">
        <v>14</v>
      </c>
      <c r="B248" s="203">
        <v>44887</v>
      </c>
      <c r="C248" s="202" t="s">
        <v>88</v>
      </c>
      <c r="D248" s="14" t="s">
        <v>649</v>
      </c>
      <c r="E248" s="14" t="s">
        <v>294</v>
      </c>
      <c r="F248" s="14" t="s">
        <v>123</v>
      </c>
      <c r="G248" s="14" t="s">
        <v>39</v>
      </c>
      <c r="H248" s="14"/>
      <c r="I248" s="14" t="s">
        <v>295</v>
      </c>
      <c r="J248" s="14">
        <v>375.6</v>
      </c>
      <c r="K248" s="13">
        <v>0</v>
      </c>
      <c r="L248" s="13">
        <v>1911.8</v>
      </c>
      <c r="M248" s="13">
        <v>0</v>
      </c>
      <c r="N248" s="13">
        <v>0</v>
      </c>
      <c r="O248" s="76">
        <v>1911.8</v>
      </c>
      <c r="P248" s="81" t="s">
        <v>272</v>
      </c>
      <c r="Q248" s="123">
        <v>323</v>
      </c>
      <c r="R248" s="13"/>
      <c r="S248" s="13"/>
      <c r="T248" s="13">
        <f>LISTA[[#This Row],[TARIFA OUT ]]+LISTA[[#This Row],[TARIFA IN]]+LISTA[[#This Row],[VALOR FINAL]]</f>
        <v>1911.8</v>
      </c>
    </row>
    <row r="249" spans="1:20" x14ac:dyDescent="0.2">
      <c r="A249" s="13" t="s">
        <v>14</v>
      </c>
      <c r="B249" s="203">
        <v>44887</v>
      </c>
      <c r="C249" s="202" t="s">
        <v>88</v>
      </c>
      <c r="D249" s="14" t="s">
        <v>670</v>
      </c>
      <c r="E249" s="200" t="s">
        <v>294</v>
      </c>
      <c r="F249" s="200" t="s">
        <v>123</v>
      </c>
      <c r="G249" s="200" t="s">
        <v>39</v>
      </c>
      <c r="H249" s="200"/>
      <c r="I249" s="14" t="s">
        <v>295</v>
      </c>
      <c r="J249" s="200">
        <v>5341.2</v>
      </c>
      <c r="K249" s="13">
        <v>0</v>
      </c>
      <c r="L249" s="13">
        <f>+LISTA[[#This Row],[KILOS]]*5.07</f>
        <v>27079.884000000002</v>
      </c>
      <c r="M249" s="13"/>
      <c r="N249" s="13"/>
      <c r="O249" s="76">
        <f>+LISTA[[#This Row],[KILOS]]*5.07</f>
        <v>27079.884000000002</v>
      </c>
      <c r="P249" s="81" t="s">
        <v>272</v>
      </c>
      <c r="Q249" s="123">
        <v>365</v>
      </c>
      <c r="R249" s="123"/>
      <c r="S249" s="123"/>
      <c r="T249" s="13">
        <f>LISTA[[#This Row],[TARIFA OUT ]]+LISTA[[#This Row],[TARIFA IN]]+LISTA[[#This Row],[VALOR FINAL]]</f>
        <v>27079.884000000002</v>
      </c>
    </row>
    <row r="250" spans="1:20" x14ac:dyDescent="0.2">
      <c r="A250" s="13" t="s">
        <v>14</v>
      </c>
      <c r="B250" s="190">
        <v>44888</v>
      </c>
      <c r="C250" s="202" t="s">
        <v>41</v>
      </c>
      <c r="D250" s="14" t="s">
        <v>696</v>
      </c>
      <c r="E250" s="14" t="s">
        <v>294</v>
      </c>
      <c r="F250" s="14" t="s">
        <v>123</v>
      </c>
      <c r="G250" s="14" t="s">
        <v>39</v>
      </c>
      <c r="H250" s="14"/>
      <c r="I250" s="14" t="s">
        <v>295</v>
      </c>
      <c r="J250" s="14">
        <v>2188.87</v>
      </c>
      <c r="K250" s="13">
        <v>0</v>
      </c>
      <c r="L250" s="13">
        <v>11141.35</v>
      </c>
      <c r="M250" s="13">
        <v>0</v>
      </c>
      <c r="N250" s="13">
        <v>0</v>
      </c>
      <c r="O250" s="76">
        <v>11141.35</v>
      </c>
      <c r="P250" s="81" t="s">
        <v>272</v>
      </c>
      <c r="Q250" s="123">
        <v>427</v>
      </c>
      <c r="R250" s="123"/>
      <c r="S250" s="123"/>
      <c r="T250" s="13">
        <f>LISTA[[#This Row],[TARIFA OUT ]]+LISTA[[#This Row],[TARIFA IN]]+LISTA[[#This Row],[VALOR FINAL]]</f>
        <v>11141.35</v>
      </c>
    </row>
    <row r="251" spans="1:20" x14ac:dyDescent="0.2">
      <c r="A251" s="13" t="s">
        <v>14</v>
      </c>
      <c r="B251" s="190">
        <v>44888</v>
      </c>
      <c r="C251" s="202" t="s">
        <v>41</v>
      </c>
      <c r="D251" s="14" t="s">
        <v>697</v>
      </c>
      <c r="E251" s="14" t="s">
        <v>294</v>
      </c>
      <c r="F251" s="14" t="s">
        <v>123</v>
      </c>
      <c r="G251" s="14" t="s">
        <v>39</v>
      </c>
      <c r="H251" s="14"/>
      <c r="I251" s="14" t="s">
        <v>295</v>
      </c>
      <c r="J251" s="14">
        <v>2798.54</v>
      </c>
      <c r="K251" s="13">
        <v>0</v>
      </c>
      <c r="L251" s="13">
        <v>14244.57</v>
      </c>
      <c r="M251" s="13">
        <v>0</v>
      </c>
      <c r="N251" s="13">
        <v>0</v>
      </c>
      <c r="O251" s="76">
        <v>14244.57</v>
      </c>
      <c r="P251" s="81" t="s">
        <v>272</v>
      </c>
      <c r="Q251" s="123">
        <v>428</v>
      </c>
      <c r="R251" s="123"/>
      <c r="S251" s="123"/>
      <c r="T251" s="13">
        <f>LISTA[[#This Row],[TARIFA OUT ]]+LISTA[[#This Row],[TARIFA IN]]+LISTA[[#This Row],[VALOR FINAL]]</f>
        <v>14244.57</v>
      </c>
    </row>
    <row r="252" spans="1:20" x14ac:dyDescent="0.2">
      <c r="A252" s="13" t="s">
        <v>14</v>
      </c>
      <c r="B252" s="203">
        <v>44883</v>
      </c>
      <c r="C252" s="202" t="s">
        <v>90</v>
      </c>
      <c r="D252" s="14" t="s">
        <v>603</v>
      </c>
      <c r="E252" s="14" t="s">
        <v>438</v>
      </c>
      <c r="F252" s="14" t="s">
        <v>123</v>
      </c>
      <c r="G252" s="14" t="s">
        <v>39</v>
      </c>
      <c r="H252" s="14"/>
      <c r="I252" s="14" t="s">
        <v>441</v>
      </c>
      <c r="J252" s="14">
        <v>5349.68</v>
      </c>
      <c r="K252" s="13">
        <v>0</v>
      </c>
      <c r="L252" s="13">
        <v>27122.880000000001</v>
      </c>
      <c r="M252" s="13">
        <v>0</v>
      </c>
      <c r="N252" s="13">
        <v>0</v>
      </c>
      <c r="O252" s="76">
        <v>27122.880000000001</v>
      </c>
      <c r="P252" s="81" t="s">
        <v>272</v>
      </c>
      <c r="Q252" s="123">
        <v>293</v>
      </c>
      <c r="R252" s="13"/>
      <c r="S252" s="13"/>
      <c r="T252" s="13">
        <f>LISTA[[#This Row],[VALOR FINAL]]+LISTA[[#This Row],[TARIFA IN]]+LISTA[[#This Row],[TARIFA OUT ]]</f>
        <v>27122.880000000001</v>
      </c>
    </row>
    <row r="253" spans="1:20" x14ac:dyDescent="0.2">
      <c r="A253" s="201" t="s">
        <v>15</v>
      </c>
      <c r="B253" s="190">
        <v>44861</v>
      </c>
      <c r="C253" s="14" t="s">
        <v>94</v>
      </c>
      <c r="D253" s="14" t="s">
        <v>584</v>
      </c>
      <c r="E253" s="14" t="s">
        <v>284</v>
      </c>
      <c r="F253" s="14" t="s">
        <v>39</v>
      </c>
      <c r="G253" s="14" t="s">
        <v>39</v>
      </c>
      <c r="H253" s="14"/>
      <c r="I253" s="14" t="s">
        <v>45</v>
      </c>
      <c r="J253" s="14">
        <v>20010</v>
      </c>
      <c r="K253" s="13">
        <v>43077.1</v>
      </c>
      <c r="L253" s="13">
        <v>0</v>
      </c>
      <c r="M253" s="13">
        <v>0</v>
      </c>
      <c r="N253" s="13"/>
      <c r="O253" s="76">
        <v>43077.1</v>
      </c>
      <c r="P253" s="81" t="s">
        <v>272</v>
      </c>
      <c r="Q253" s="123">
        <v>253</v>
      </c>
      <c r="R253" s="13"/>
      <c r="S253" s="13"/>
      <c r="T253" s="13">
        <f>LISTA[[#This Row],[VALOR FINAL]]+LISTA[[#This Row],[TARIFA IN]]+LISTA[[#This Row],[TARIFA OUT ]]</f>
        <v>43077.1</v>
      </c>
    </row>
    <row r="254" spans="1:20" x14ac:dyDescent="0.2">
      <c r="A254" s="201" t="s">
        <v>15</v>
      </c>
      <c r="B254" s="190">
        <v>44862</v>
      </c>
      <c r="C254" s="14"/>
      <c r="D254" s="14" t="s">
        <v>584</v>
      </c>
      <c r="E254" s="14" t="s">
        <v>242</v>
      </c>
      <c r="F254" s="14" t="s">
        <v>39</v>
      </c>
      <c r="G254" s="14" t="s">
        <v>39</v>
      </c>
      <c r="H254" s="14"/>
      <c r="I254" s="14" t="s">
        <v>45</v>
      </c>
      <c r="J254" s="14"/>
      <c r="K254" s="13">
        <v>25846.26</v>
      </c>
      <c r="L254" s="13">
        <v>0</v>
      </c>
      <c r="M254" s="13">
        <v>0</v>
      </c>
      <c r="N254" s="13"/>
      <c r="O254" s="76">
        <v>25846.26</v>
      </c>
      <c r="P254" s="81" t="s">
        <v>272</v>
      </c>
      <c r="Q254" s="123">
        <v>254</v>
      </c>
      <c r="R254" s="13"/>
      <c r="S254" s="13"/>
      <c r="T254" s="13">
        <f>LISTA[[#This Row],[VALOR FINAL]]+LISTA[[#This Row],[TARIFA IN]]+LISTA[[#This Row],[TARIFA OUT ]]</f>
        <v>25846.26</v>
      </c>
    </row>
    <row r="255" spans="1:20" x14ac:dyDescent="0.2">
      <c r="A255" s="201" t="s">
        <v>15</v>
      </c>
      <c r="B255" s="190">
        <v>44863</v>
      </c>
      <c r="C255" s="14"/>
      <c r="D255" s="14" t="s">
        <v>584</v>
      </c>
      <c r="E255" s="14" t="s">
        <v>242</v>
      </c>
      <c r="F255" s="14" t="s">
        <v>39</v>
      </c>
      <c r="G255" s="14" t="s">
        <v>39</v>
      </c>
      <c r="H255" s="14"/>
      <c r="I255" s="14" t="s">
        <v>45</v>
      </c>
      <c r="J255" s="14"/>
      <c r="K255" s="13">
        <v>25846.26</v>
      </c>
      <c r="L255" s="13">
        <v>0</v>
      </c>
      <c r="M255" s="13">
        <v>0</v>
      </c>
      <c r="N255" s="13"/>
      <c r="O255" s="76">
        <v>25846.26</v>
      </c>
      <c r="P255" s="81" t="s">
        <v>272</v>
      </c>
      <c r="Q255" s="123">
        <v>255</v>
      </c>
      <c r="R255" s="13"/>
      <c r="S255" s="13"/>
      <c r="T255" s="13">
        <f>LISTA[[#This Row],[VALOR FINAL]]+LISTA[[#This Row],[TARIFA IN]]+LISTA[[#This Row],[TARIFA OUT ]]</f>
        <v>25846.26</v>
      </c>
    </row>
    <row r="256" spans="1:20" x14ac:dyDescent="0.2">
      <c r="A256" s="201" t="s">
        <v>15</v>
      </c>
      <c r="B256" s="190">
        <v>44864</v>
      </c>
      <c r="C256" s="14"/>
      <c r="D256" s="14" t="s">
        <v>584</v>
      </c>
      <c r="E256" s="14" t="s">
        <v>242</v>
      </c>
      <c r="F256" s="14" t="s">
        <v>39</v>
      </c>
      <c r="G256" s="14" t="s">
        <v>39</v>
      </c>
      <c r="H256" s="14"/>
      <c r="I256" s="14" t="s">
        <v>45</v>
      </c>
      <c r="J256" s="14"/>
      <c r="K256" s="13">
        <v>25846.26</v>
      </c>
      <c r="L256" s="13">
        <v>0</v>
      </c>
      <c r="M256" s="13">
        <v>0</v>
      </c>
      <c r="N256" s="13"/>
      <c r="O256" s="76">
        <v>25846.26</v>
      </c>
      <c r="P256" s="81" t="s">
        <v>272</v>
      </c>
      <c r="Q256" s="123">
        <v>256</v>
      </c>
      <c r="R256" s="13"/>
      <c r="S256" s="13"/>
      <c r="T256" s="13">
        <f>LISTA[[#This Row],[VALOR FINAL]]+LISTA[[#This Row],[TARIFA IN]]+LISTA[[#This Row],[TARIFA OUT ]]</f>
        <v>25846.26</v>
      </c>
    </row>
    <row r="257" spans="1:20" x14ac:dyDescent="0.2">
      <c r="A257" s="201" t="s">
        <v>15</v>
      </c>
      <c r="B257" s="190">
        <v>44865</v>
      </c>
      <c r="C257" s="14"/>
      <c r="D257" s="14" t="s">
        <v>584</v>
      </c>
      <c r="E257" s="14" t="s">
        <v>242</v>
      </c>
      <c r="F257" s="14" t="s">
        <v>39</v>
      </c>
      <c r="G257" s="14" t="s">
        <v>39</v>
      </c>
      <c r="H257" s="14"/>
      <c r="I257" s="14" t="s">
        <v>45</v>
      </c>
      <c r="J257" s="14"/>
      <c r="K257" s="13">
        <v>25846.26</v>
      </c>
      <c r="L257" s="13">
        <v>0</v>
      </c>
      <c r="M257" s="13">
        <v>0</v>
      </c>
      <c r="N257" s="13"/>
      <c r="O257" s="76">
        <v>25846.26</v>
      </c>
      <c r="P257" s="81" t="s">
        <v>272</v>
      </c>
      <c r="Q257" s="123">
        <v>257</v>
      </c>
      <c r="R257" s="13"/>
      <c r="S257" s="13"/>
      <c r="T257" s="13">
        <f>LISTA[[#This Row],[VALOR FINAL]]+LISTA[[#This Row],[TARIFA IN]]+LISTA[[#This Row],[TARIFA OUT ]]</f>
        <v>25846.26</v>
      </c>
    </row>
    <row r="258" spans="1:20" x14ac:dyDescent="0.2">
      <c r="A258" s="201" t="s">
        <v>15</v>
      </c>
      <c r="B258" s="190">
        <v>44866</v>
      </c>
      <c r="C258" s="14"/>
      <c r="D258" s="14" t="s">
        <v>584</v>
      </c>
      <c r="E258" s="14" t="s">
        <v>242</v>
      </c>
      <c r="F258" s="14" t="s">
        <v>39</v>
      </c>
      <c r="G258" s="14" t="s">
        <v>39</v>
      </c>
      <c r="H258" s="14"/>
      <c r="I258" s="14" t="s">
        <v>45</v>
      </c>
      <c r="J258" s="14"/>
      <c r="K258" s="13">
        <v>25846.26</v>
      </c>
      <c r="L258" s="13">
        <v>0</v>
      </c>
      <c r="M258" s="13">
        <v>0</v>
      </c>
      <c r="N258" s="13"/>
      <c r="O258" s="76">
        <v>25846.26</v>
      </c>
      <c r="P258" s="81" t="s">
        <v>272</v>
      </c>
      <c r="Q258" s="123">
        <v>258</v>
      </c>
      <c r="R258" s="13"/>
      <c r="S258" s="13"/>
      <c r="T258" s="13">
        <f>LISTA[[#This Row],[VALOR FINAL]]+LISTA[[#This Row],[TARIFA IN]]+LISTA[[#This Row],[TARIFA OUT ]]</f>
        <v>25846.26</v>
      </c>
    </row>
    <row r="259" spans="1:20" x14ac:dyDescent="0.2">
      <c r="A259" s="201" t="s">
        <v>15</v>
      </c>
      <c r="B259" s="190">
        <v>44867</v>
      </c>
      <c r="C259" s="14"/>
      <c r="D259" s="14" t="s">
        <v>584</v>
      </c>
      <c r="E259" s="14" t="s">
        <v>242</v>
      </c>
      <c r="F259" s="14" t="s">
        <v>39</v>
      </c>
      <c r="G259" s="14" t="s">
        <v>39</v>
      </c>
      <c r="H259" s="14"/>
      <c r="I259" s="14" t="s">
        <v>45</v>
      </c>
      <c r="J259" s="14"/>
      <c r="K259" s="13">
        <v>25846.26</v>
      </c>
      <c r="L259" s="13">
        <v>0</v>
      </c>
      <c r="M259" s="13">
        <v>0</v>
      </c>
      <c r="N259" s="13"/>
      <c r="O259" s="76">
        <v>25846.26</v>
      </c>
      <c r="P259" s="81" t="s">
        <v>272</v>
      </c>
      <c r="Q259" s="123">
        <v>259</v>
      </c>
      <c r="R259" s="13"/>
      <c r="S259" s="13"/>
      <c r="T259" s="13">
        <f>LISTA[[#This Row],[VALOR FINAL]]+LISTA[[#This Row],[TARIFA IN]]+LISTA[[#This Row],[TARIFA OUT ]]</f>
        <v>25846.26</v>
      </c>
    </row>
    <row r="260" spans="1:20" x14ac:dyDescent="0.2">
      <c r="A260" s="201" t="s">
        <v>15</v>
      </c>
      <c r="B260" s="190">
        <v>44868</v>
      </c>
      <c r="C260" s="14"/>
      <c r="D260" s="14" t="s">
        <v>584</v>
      </c>
      <c r="E260" s="14" t="s">
        <v>242</v>
      </c>
      <c r="F260" s="14" t="s">
        <v>39</v>
      </c>
      <c r="G260" s="14" t="s">
        <v>39</v>
      </c>
      <c r="H260" s="14"/>
      <c r="I260" s="14" t="s">
        <v>45</v>
      </c>
      <c r="J260" s="14"/>
      <c r="K260" s="13">
        <v>25846.26</v>
      </c>
      <c r="L260" s="13">
        <v>0</v>
      </c>
      <c r="M260" s="13">
        <v>0</v>
      </c>
      <c r="N260" s="13"/>
      <c r="O260" s="76">
        <v>25846.26</v>
      </c>
      <c r="P260" s="81" t="s">
        <v>272</v>
      </c>
      <c r="Q260" s="123">
        <v>260</v>
      </c>
      <c r="R260" s="13"/>
      <c r="S260" s="13"/>
      <c r="T260" s="13">
        <f>LISTA[[#This Row],[VALOR FINAL]]+LISTA[[#This Row],[TARIFA IN]]+LISTA[[#This Row],[TARIFA OUT ]]</f>
        <v>25846.26</v>
      </c>
    </row>
    <row r="261" spans="1:20" x14ac:dyDescent="0.2">
      <c r="A261" s="201" t="s">
        <v>15</v>
      </c>
      <c r="B261" s="190">
        <v>44869</v>
      </c>
      <c r="C261" s="14"/>
      <c r="D261" s="14" t="s">
        <v>584</v>
      </c>
      <c r="E261" s="14" t="s">
        <v>242</v>
      </c>
      <c r="F261" s="14" t="s">
        <v>39</v>
      </c>
      <c r="G261" s="14" t="s">
        <v>39</v>
      </c>
      <c r="H261" s="14"/>
      <c r="I261" s="14" t="s">
        <v>45</v>
      </c>
      <c r="J261" s="14"/>
      <c r="K261" s="13">
        <v>25846.26</v>
      </c>
      <c r="L261" s="13">
        <v>0</v>
      </c>
      <c r="M261" s="13">
        <v>0</v>
      </c>
      <c r="N261" s="13"/>
      <c r="O261" s="76">
        <v>25846.26</v>
      </c>
      <c r="P261" s="81" t="s">
        <v>272</v>
      </c>
      <c r="Q261" s="123">
        <v>261</v>
      </c>
      <c r="R261" s="13"/>
      <c r="S261" s="13"/>
      <c r="T261" s="13">
        <f>LISTA[[#This Row],[VALOR FINAL]]+LISTA[[#This Row],[TARIFA IN]]+LISTA[[#This Row],[TARIFA OUT ]]</f>
        <v>25846.26</v>
      </c>
    </row>
    <row r="262" spans="1:20" x14ac:dyDescent="0.2">
      <c r="A262" s="201" t="s">
        <v>15</v>
      </c>
      <c r="B262" s="190">
        <v>44870</v>
      </c>
      <c r="C262" s="14"/>
      <c r="D262" s="14" t="s">
        <v>584</v>
      </c>
      <c r="E262" s="14" t="s">
        <v>242</v>
      </c>
      <c r="F262" s="14" t="s">
        <v>39</v>
      </c>
      <c r="G262" s="14" t="s">
        <v>39</v>
      </c>
      <c r="H262" s="14"/>
      <c r="I262" s="14" t="s">
        <v>45</v>
      </c>
      <c r="J262" s="14"/>
      <c r="K262" s="13">
        <v>25846.26</v>
      </c>
      <c r="L262" s="13">
        <v>0</v>
      </c>
      <c r="M262" s="13">
        <v>0</v>
      </c>
      <c r="N262" s="13"/>
      <c r="O262" s="76">
        <v>25846.26</v>
      </c>
      <c r="P262" s="81" t="s">
        <v>272</v>
      </c>
      <c r="Q262" s="123">
        <v>262</v>
      </c>
      <c r="R262" s="13"/>
      <c r="S262" s="13"/>
      <c r="T262" s="13">
        <f>LISTA[[#This Row],[VALOR FINAL]]+LISTA[[#This Row],[TARIFA IN]]+LISTA[[#This Row],[TARIFA OUT ]]</f>
        <v>25846.26</v>
      </c>
    </row>
    <row r="263" spans="1:20" x14ac:dyDescent="0.2">
      <c r="A263" s="201" t="s">
        <v>15</v>
      </c>
      <c r="B263" s="190">
        <v>44871</v>
      </c>
      <c r="C263" s="14"/>
      <c r="D263" s="14" t="s">
        <v>584</v>
      </c>
      <c r="E263" s="14" t="s">
        <v>242</v>
      </c>
      <c r="F263" s="14" t="s">
        <v>39</v>
      </c>
      <c r="G263" s="14" t="s">
        <v>39</v>
      </c>
      <c r="H263" s="14"/>
      <c r="I263" s="14" t="s">
        <v>45</v>
      </c>
      <c r="J263" s="14"/>
      <c r="K263" s="13">
        <v>25846.26</v>
      </c>
      <c r="L263" s="13">
        <v>0</v>
      </c>
      <c r="M263" s="13">
        <v>0</v>
      </c>
      <c r="N263" s="13"/>
      <c r="O263" s="76">
        <v>25846.26</v>
      </c>
      <c r="P263" s="81" t="s">
        <v>272</v>
      </c>
      <c r="Q263" s="123">
        <v>263</v>
      </c>
      <c r="R263" s="13"/>
      <c r="S263" s="13"/>
      <c r="T263" s="13">
        <f>LISTA[[#This Row],[VALOR FINAL]]+LISTA[[#This Row],[TARIFA IN]]+LISTA[[#This Row],[TARIFA OUT ]]</f>
        <v>25846.26</v>
      </c>
    </row>
    <row r="264" spans="1:20" x14ac:dyDescent="0.2">
      <c r="A264" s="201" t="s">
        <v>15</v>
      </c>
      <c r="B264" s="190">
        <v>44872</v>
      </c>
      <c r="C264" s="14"/>
      <c r="D264" s="14" t="s">
        <v>584</v>
      </c>
      <c r="E264" s="14" t="s">
        <v>242</v>
      </c>
      <c r="F264" s="14" t="s">
        <v>39</v>
      </c>
      <c r="G264" s="14" t="s">
        <v>39</v>
      </c>
      <c r="H264" s="14"/>
      <c r="I264" s="14" t="s">
        <v>45</v>
      </c>
      <c r="J264" s="14"/>
      <c r="K264" s="13">
        <v>25846.26</v>
      </c>
      <c r="L264" s="13">
        <v>0</v>
      </c>
      <c r="M264" s="13">
        <v>0</v>
      </c>
      <c r="N264" s="13"/>
      <c r="O264" s="76">
        <v>25846.26</v>
      </c>
      <c r="P264" s="81" t="s">
        <v>272</v>
      </c>
      <c r="Q264" s="123">
        <v>264</v>
      </c>
      <c r="R264" s="13"/>
      <c r="S264" s="13"/>
      <c r="T264" s="13">
        <f>LISTA[[#This Row],[VALOR FINAL]]+LISTA[[#This Row],[TARIFA IN]]+LISTA[[#This Row],[TARIFA OUT ]]</f>
        <v>25846.26</v>
      </c>
    </row>
    <row r="265" spans="1:20" x14ac:dyDescent="0.2">
      <c r="A265" s="201" t="s">
        <v>15</v>
      </c>
      <c r="B265" s="190">
        <v>44873</v>
      </c>
      <c r="C265" s="14"/>
      <c r="D265" s="14" t="s">
        <v>584</v>
      </c>
      <c r="E265" s="14" t="s">
        <v>242</v>
      </c>
      <c r="F265" s="14" t="s">
        <v>39</v>
      </c>
      <c r="G265" s="14" t="s">
        <v>39</v>
      </c>
      <c r="H265" s="14"/>
      <c r="I265" s="14" t="s">
        <v>45</v>
      </c>
      <c r="J265" s="14"/>
      <c r="K265" s="13">
        <v>25846.26</v>
      </c>
      <c r="L265" s="13">
        <v>0</v>
      </c>
      <c r="M265" s="13">
        <v>0</v>
      </c>
      <c r="N265" s="13"/>
      <c r="O265" s="76">
        <v>25846.26</v>
      </c>
      <c r="P265" s="81" t="s">
        <v>272</v>
      </c>
      <c r="Q265" s="123">
        <v>265</v>
      </c>
      <c r="R265" s="13"/>
      <c r="S265" s="13"/>
      <c r="T265" s="13">
        <f>LISTA[[#This Row],[VALOR FINAL]]+LISTA[[#This Row],[TARIFA IN]]+LISTA[[#This Row],[TARIFA OUT ]]</f>
        <v>25846.26</v>
      </c>
    </row>
    <row r="266" spans="1:20" x14ac:dyDescent="0.2">
      <c r="A266" s="201" t="s">
        <v>15</v>
      </c>
      <c r="B266" s="190">
        <v>44874</v>
      </c>
      <c r="C266" s="14"/>
      <c r="D266" s="14" t="s">
        <v>584</v>
      </c>
      <c r="E266" s="14" t="s">
        <v>242</v>
      </c>
      <c r="F266" s="14" t="s">
        <v>39</v>
      </c>
      <c r="G266" s="14" t="s">
        <v>39</v>
      </c>
      <c r="H266" s="14"/>
      <c r="I266" s="14" t="s">
        <v>45</v>
      </c>
      <c r="J266" s="14"/>
      <c r="K266" s="13">
        <v>25846.26</v>
      </c>
      <c r="L266" s="13">
        <v>0</v>
      </c>
      <c r="M266" s="13">
        <v>0</v>
      </c>
      <c r="N266" s="13"/>
      <c r="O266" s="76">
        <v>25846.26</v>
      </c>
      <c r="P266" s="81" t="s">
        <v>272</v>
      </c>
      <c r="Q266" s="123">
        <v>266</v>
      </c>
      <c r="R266" s="13"/>
      <c r="S266" s="13"/>
      <c r="T266" s="13">
        <f>LISTA[[#This Row],[VALOR FINAL]]+LISTA[[#This Row],[TARIFA IN]]+LISTA[[#This Row],[TARIFA OUT ]]</f>
        <v>25846.26</v>
      </c>
    </row>
    <row r="267" spans="1:20" x14ac:dyDescent="0.2">
      <c r="A267" s="201" t="s">
        <v>15</v>
      </c>
      <c r="B267" s="190">
        <v>44875</v>
      </c>
      <c r="C267" s="14"/>
      <c r="D267" s="14" t="s">
        <v>584</v>
      </c>
      <c r="E267" s="14" t="s">
        <v>242</v>
      </c>
      <c r="F267" s="14" t="s">
        <v>39</v>
      </c>
      <c r="G267" s="14" t="s">
        <v>39</v>
      </c>
      <c r="H267" s="14"/>
      <c r="I267" s="14" t="s">
        <v>45</v>
      </c>
      <c r="J267" s="14"/>
      <c r="K267" s="13">
        <v>25846.26</v>
      </c>
      <c r="L267" s="13">
        <v>0</v>
      </c>
      <c r="M267" s="13">
        <v>0</v>
      </c>
      <c r="N267" s="13"/>
      <c r="O267" s="76">
        <v>25846.26</v>
      </c>
      <c r="P267" s="81" t="s">
        <v>272</v>
      </c>
      <c r="Q267" s="123">
        <v>267</v>
      </c>
      <c r="R267" s="13"/>
      <c r="S267" s="13"/>
      <c r="T267" s="13">
        <f>LISTA[[#This Row],[VALOR FINAL]]+LISTA[[#This Row],[TARIFA IN]]+LISTA[[#This Row],[TARIFA OUT ]]</f>
        <v>25846.26</v>
      </c>
    </row>
    <row r="268" spans="1:20" x14ac:dyDescent="0.2">
      <c r="A268" s="201" t="s">
        <v>15</v>
      </c>
      <c r="B268" s="190">
        <v>44876</v>
      </c>
      <c r="C268" s="14"/>
      <c r="D268" s="14" t="s">
        <v>584</v>
      </c>
      <c r="E268" s="14" t="s">
        <v>242</v>
      </c>
      <c r="F268" s="14" t="s">
        <v>39</v>
      </c>
      <c r="G268" s="14" t="s">
        <v>39</v>
      </c>
      <c r="H268" s="14"/>
      <c r="I268" s="14" t="s">
        <v>45</v>
      </c>
      <c r="J268" s="14"/>
      <c r="K268" s="13">
        <v>25846.26</v>
      </c>
      <c r="L268" s="13">
        <v>0</v>
      </c>
      <c r="M268" s="13">
        <v>0</v>
      </c>
      <c r="N268" s="13"/>
      <c r="O268" s="76">
        <v>25846.26</v>
      </c>
      <c r="P268" s="81" t="s">
        <v>272</v>
      </c>
      <c r="Q268" s="123">
        <v>268</v>
      </c>
      <c r="R268" s="13"/>
      <c r="S268" s="13"/>
      <c r="T268" s="13">
        <f>LISTA[[#This Row],[VALOR FINAL]]+LISTA[[#This Row],[TARIFA IN]]+LISTA[[#This Row],[TARIFA OUT ]]</f>
        <v>25846.26</v>
      </c>
    </row>
    <row r="269" spans="1:20" x14ac:dyDescent="0.2">
      <c r="A269" s="201" t="s">
        <v>15</v>
      </c>
      <c r="B269" s="190">
        <v>44877</v>
      </c>
      <c r="C269" s="14"/>
      <c r="D269" s="14" t="s">
        <v>584</v>
      </c>
      <c r="E269" s="14" t="s">
        <v>242</v>
      </c>
      <c r="F269" s="14" t="s">
        <v>39</v>
      </c>
      <c r="G269" s="14" t="s">
        <v>39</v>
      </c>
      <c r="H269" s="14"/>
      <c r="I269" s="14" t="s">
        <v>45</v>
      </c>
      <c r="J269" s="14"/>
      <c r="K269" s="13">
        <v>25846.26</v>
      </c>
      <c r="L269" s="13">
        <v>0</v>
      </c>
      <c r="M269" s="13">
        <v>0</v>
      </c>
      <c r="N269" s="13"/>
      <c r="O269" s="76">
        <v>25846.26</v>
      </c>
      <c r="P269" s="81" t="s">
        <v>272</v>
      </c>
      <c r="Q269" s="123">
        <v>269</v>
      </c>
      <c r="R269" s="13"/>
      <c r="S269" s="13"/>
      <c r="T269" s="13">
        <f>LISTA[[#This Row],[VALOR FINAL]]+LISTA[[#This Row],[TARIFA IN]]+LISTA[[#This Row],[TARIFA OUT ]]</f>
        <v>25846.26</v>
      </c>
    </row>
    <row r="270" spans="1:20" x14ac:dyDescent="0.2">
      <c r="A270" s="201" t="s">
        <v>15</v>
      </c>
      <c r="B270" s="190">
        <v>44878</v>
      </c>
      <c r="C270" s="14"/>
      <c r="D270" s="14" t="s">
        <v>584</v>
      </c>
      <c r="E270" s="14" t="s">
        <v>242</v>
      </c>
      <c r="F270" s="14" t="s">
        <v>39</v>
      </c>
      <c r="G270" s="14" t="s">
        <v>39</v>
      </c>
      <c r="H270" s="14"/>
      <c r="I270" s="14" t="s">
        <v>45</v>
      </c>
      <c r="J270" s="14"/>
      <c r="K270" s="13">
        <v>25846.26</v>
      </c>
      <c r="L270" s="13">
        <v>0</v>
      </c>
      <c r="M270" s="13">
        <v>0</v>
      </c>
      <c r="N270" s="13"/>
      <c r="O270" s="76">
        <v>25846.26</v>
      </c>
      <c r="P270" s="81" t="s">
        <v>272</v>
      </c>
      <c r="Q270" s="123">
        <v>270</v>
      </c>
      <c r="R270" s="13"/>
      <c r="S270" s="13"/>
      <c r="T270" s="13">
        <f>LISTA[[#This Row],[VALOR FINAL]]+LISTA[[#This Row],[TARIFA IN]]+LISTA[[#This Row],[TARIFA OUT ]]</f>
        <v>25846.26</v>
      </c>
    </row>
    <row r="271" spans="1:20" x14ac:dyDescent="0.2">
      <c r="A271" s="201" t="s">
        <v>15</v>
      </c>
      <c r="B271" s="190">
        <v>44879</v>
      </c>
      <c r="C271" s="14"/>
      <c r="D271" s="14" t="s">
        <v>584</v>
      </c>
      <c r="E271" s="14" t="s">
        <v>242</v>
      </c>
      <c r="F271" s="14" t="s">
        <v>39</v>
      </c>
      <c r="G271" s="14" t="s">
        <v>39</v>
      </c>
      <c r="H271" s="14"/>
      <c r="I271" s="14" t="s">
        <v>45</v>
      </c>
      <c r="J271" s="14"/>
      <c r="K271" s="13">
        <v>25846.26</v>
      </c>
      <c r="L271" s="13">
        <v>0</v>
      </c>
      <c r="M271" s="13">
        <v>0</v>
      </c>
      <c r="N271" s="13"/>
      <c r="O271" s="76">
        <v>25846.26</v>
      </c>
      <c r="P271" s="81" t="s">
        <v>272</v>
      </c>
      <c r="Q271" s="123">
        <v>271</v>
      </c>
      <c r="R271" s="13"/>
      <c r="S271" s="13"/>
      <c r="T271" s="13">
        <f>LISTA[[#This Row],[VALOR FINAL]]+LISTA[[#This Row],[TARIFA IN]]+LISTA[[#This Row],[TARIFA OUT ]]</f>
        <v>25846.26</v>
      </c>
    </row>
    <row r="272" spans="1:20" x14ac:dyDescent="0.2">
      <c r="A272" s="201" t="s">
        <v>15</v>
      </c>
      <c r="B272" s="190">
        <v>44880</v>
      </c>
      <c r="C272" s="14"/>
      <c r="D272" s="14" t="s">
        <v>584</v>
      </c>
      <c r="E272" s="14" t="s">
        <v>242</v>
      </c>
      <c r="F272" s="14" t="s">
        <v>39</v>
      </c>
      <c r="G272" s="14" t="s">
        <v>39</v>
      </c>
      <c r="H272" s="14"/>
      <c r="I272" s="14" t="s">
        <v>45</v>
      </c>
      <c r="J272" s="14"/>
      <c r="K272" s="13">
        <v>25846.26</v>
      </c>
      <c r="L272" s="13">
        <v>0</v>
      </c>
      <c r="M272" s="13">
        <v>0</v>
      </c>
      <c r="N272" s="13"/>
      <c r="O272" s="76">
        <v>25846.26</v>
      </c>
      <c r="P272" s="81" t="s">
        <v>272</v>
      </c>
      <c r="Q272" s="123">
        <v>272</v>
      </c>
      <c r="R272" s="13"/>
      <c r="S272" s="13"/>
      <c r="T272" s="13">
        <f>LISTA[[#This Row],[VALOR FINAL]]+LISTA[[#This Row],[TARIFA IN]]+LISTA[[#This Row],[TARIFA OUT ]]</f>
        <v>25846.26</v>
      </c>
    </row>
    <row r="273" spans="1:20" x14ac:dyDescent="0.2">
      <c r="A273" s="201" t="s">
        <v>15</v>
      </c>
      <c r="B273" s="190">
        <v>44881</v>
      </c>
      <c r="C273" s="14"/>
      <c r="D273" s="14" t="s">
        <v>584</v>
      </c>
      <c r="E273" s="14" t="s">
        <v>242</v>
      </c>
      <c r="F273" s="14" t="s">
        <v>39</v>
      </c>
      <c r="G273" s="14" t="s">
        <v>39</v>
      </c>
      <c r="H273" s="14"/>
      <c r="I273" s="14" t="s">
        <v>45</v>
      </c>
      <c r="J273" s="14"/>
      <c r="K273" s="13">
        <v>25846.26</v>
      </c>
      <c r="L273" s="13">
        <v>0</v>
      </c>
      <c r="M273" s="13">
        <v>0</v>
      </c>
      <c r="N273" s="13"/>
      <c r="O273" s="76">
        <v>25846.26</v>
      </c>
      <c r="P273" s="81" t="s">
        <v>272</v>
      </c>
      <c r="Q273" s="123">
        <v>273</v>
      </c>
      <c r="R273" s="13"/>
      <c r="S273" s="13"/>
      <c r="T273" s="13">
        <f>LISTA[[#This Row],[VALOR FINAL]]+LISTA[[#This Row],[TARIFA IN]]+LISTA[[#This Row],[TARIFA OUT ]]</f>
        <v>25846.26</v>
      </c>
    </row>
    <row r="274" spans="1:20" x14ac:dyDescent="0.2">
      <c r="A274" s="201" t="s">
        <v>15</v>
      </c>
      <c r="B274" s="190">
        <v>44882</v>
      </c>
      <c r="C274" s="14" t="s">
        <v>42</v>
      </c>
      <c r="D274" s="14" t="s">
        <v>584</v>
      </c>
      <c r="E274" s="14" t="s">
        <v>177</v>
      </c>
      <c r="F274" s="14" t="s">
        <v>39</v>
      </c>
      <c r="G274" s="14" t="s">
        <v>39</v>
      </c>
      <c r="H274" s="14"/>
      <c r="I274" s="14" t="s">
        <v>585</v>
      </c>
      <c r="J274" s="14"/>
      <c r="K274" s="13">
        <v>43077.1</v>
      </c>
      <c r="L274" s="13">
        <v>0</v>
      </c>
      <c r="M274" s="13">
        <v>0</v>
      </c>
      <c r="N274" s="13"/>
      <c r="O274" s="76">
        <v>43077.1</v>
      </c>
      <c r="P274" s="81" t="s">
        <v>272</v>
      </c>
      <c r="Q274" s="123">
        <v>274</v>
      </c>
      <c r="R274" s="13"/>
      <c r="S274" s="13"/>
      <c r="T274" s="13">
        <f>LISTA[[#This Row],[VALOR FINAL]]+LISTA[[#This Row],[TARIFA IN]]+LISTA[[#This Row],[TARIFA OUT ]]</f>
        <v>43077.1</v>
      </c>
    </row>
    <row r="275" spans="1:20" x14ac:dyDescent="0.2">
      <c r="A275" s="201" t="s">
        <v>15</v>
      </c>
      <c r="B275" s="190">
        <v>44882</v>
      </c>
      <c r="C275" s="14" t="s">
        <v>42</v>
      </c>
      <c r="D275" s="14" t="s">
        <v>584</v>
      </c>
      <c r="E275" s="14" t="s">
        <v>146</v>
      </c>
      <c r="F275" s="14" t="s">
        <v>39</v>
      </c>
      <c r="G275" s="14" t="s">
        <v>39</v>
      </c>
      <c r="H275" s="14"/>
      <c r="I275" s="14" t="s">
        <v>45</v>
      </c>
      <c r="J275" s="14"/>
      <c r="K275" s="13">
        <v>43077.1</v>
      </c>
      <c r="L275" s="13">
        <v>0</v>
      </c>
      <c r="M275" s="13">
        <v>0</v>
      </c>
      <c r="N275" s="13"/>
      <c r="O275" s="76">
        <v>43077.1</v>
      </c>
      <c r="P275" s="81" t="s">
        <v>272</v>
      </c>
      <c r="Q275" s="123">
        <v>275</v>
      </c>
      <c r="R275" s="13"/>
      <c r="S275" s="13"/>
      <c r="T275" s="13">
        <f>LISTA[[#This Row],[VALOR FINAL]]+LISTA[[#This Row],[TARIFA IN]]+LISTA[[#This Row],[TARIFA OUT ]]</f>
        <v>43077.1</v>
      </c>
    </row>
    <row r="276" spans="1:20" x14ac:dyDescent="0.2">
      <c r="A276" s="201" t="s">
        <v>15</v>
      </c>
      <c r="B276" s="190">
        <v>44883</v>
      </c>
      <c r="C276" s="14" t="s">
        <v>77</v>
      </c>
      <c r="D276" s="14" t="s">
        <v>584</v>
      </c>
      <c r="E276" s="14" t="s">
        <v>586</v>
      </c>
      <c r="F276" s="14" t="s">
        <v>39</v>
      </c>
      <c r="G276" s="14" t="s">
        <v>39</v>
      </c>
      <c r="H276" s="14"/>
      <c r="I276" s="14" t="s">
        <v>282</v>
      </c>
      <c r="J276" s="14"/>
      <c r="K276" s="13">
        <v>85456</v>
      </c>
      <c r="L276" s="13">
        <v>0</v>
      </c>
      <c r="M276" s="13">
        <v>0</v>
      </c>
      <c r="N276" s="13"/>
      <c r="O276" s="76">
        <v>85456</v>
      </c>
      <c r="P276" s="81" t="s">
        <v>272</v>
      </c>
      <c r="Q276" s="123">
        <v>276</v>
      </c>
      <c r="R276" s="13"/>
      <c r="S276" s="13"/>
      <c r="T276" s="13">
        <f>LISTA[[#This Row],[VALOR FINAL]]+LISTA[[#This Row],[TARIFA IN]]+LISTA[[#This Row],[TARIFA OUT ]]</f>
        <v>85456</v>
      </c>
    </row>
    <row r="277" spans="1:20" x14ac:dyDescent="0.2">
      <c r="A277" s="201" t="s">
        <v>82</v>
      </c>
      <c r="B277" s="203">
        <v>44883</v>
      </c>
      <c r="C277" s="14" t="s">
        <v>44</v>
      </c>
      <c r="D277" s="14">
        <v>22197</v>
      </c>
      <c r="E277" s="14" t="s">
        <v>172</v>
      </c>
      <c r="F277" s="14" t="s">
        <v>39</v>
      </c>
      <c r="G277" s="14" t="s">
        <v>39</v>
      </c>
      <c r="H277" s="14"/>
      <c r="I277" s="14" t="s">
        <v>45</v>
      </c>
      <c r="J277" s="14">
        <v>5238</v>
      </c>
      <c r="K277" s="13">
        <v>43077.1</v>
      </c>
      <c r="L277" s="13">
        <v>0</v>
      </c>
      <c r="M277" s="13">
        <v>0</v>
      </c>
      <c r="N277" s="13">
        <v>0</v>
      </c>
      <c r="O277" s="76">
        <v>43077.1</v>
      </c>
      <c r="P277" s="81" t="s">
        <v>272</v>
      </c>
      <c r="Q277" s="123">
        <v>277</v>
      </c>
      <c r="R277" s="13"/>
      <c r="S277" s="13"/>
      <c r="T277" s="13">
        <f>LISTA[[#This Row],[VALOR FINAL]]+LISTA[[#This Row],[TARIFA IN]]+LISTA[[#This Row],[TARIFA OUT ]]</f>
        <v>43077.1</v>
      </c>
    </row>
    <row r="278" spans="1:20" x14ac:dyDescent="0.2">
      <c r="A278" s="201" t="s">
        <v>82</v>
      </c>
      <c r="B278" s="203">
        <v>44883</v>
      </c>
      <c r="C278" s="14" t="s">
        <v>44</v>
      </c>
      <c r="D278" s="14">
        <v>6745</v>
      </c>
      <c r="E278" s="14" t="s">
        <v>146</v>
      </c>
      <c r="F278" s="14" t="s">
        <v>39</v>
      </c>
      <c r="G278" s="14" t="s">
        <v>39</v>
      </c>
      <c r="H278" s="14"/>
      <c r="I278" s="14" t="s">
        <v>45</v>
      </c>
      <c r="J278" s="14">
        <v>18895</v>
      </c>
      <c r="K278" s="13">
        <v>43077.1</v>
      </c>
      <c r="L278" s="13">
        <v>0</v>
      </c>
      <c r="M278" s="13">
        <v>0</v>
      </c>
      <c r="N278" s="13">
        <v>0</v>
      </c>
      <c r="O278" s="76">
        <v>43077.1</v>
      </c>
      <c r="P278" s="81" t="s">
        <v>272</v>
      </c>
      <c r="Q278" s="123">
        <v>278</v>
      </c>
      <c r="R278" s="13"/>
      <c r="S278" s="13"/>
      <c r="T278" s="13">
        <f>LISTA[[#This Row],[VALOR FINAL]]+LISTA[[#This Row],[TARIFA IN]]+LISTA[[#This Row],[TARIFA OUT ]]</f>
        <v>43077.1</v>
      </c>
    </row>
    <row r="279" spans="1:20" x14ac:dyDescent="0.2">
      <c r="A279" s="201" t="s">
        <v>82</v>
      </c>
      <c r="B279" s="203">
        <v>44883</v>
      </c>
      <c r="C279" s="14" t="s">
        <v>47</v>
      </c>
      <c r="D279" s="14">
        <v>6746</v>
      </c>
      <c r="E279" s="14" t="s">
        <v>372</v>
      </c>
      <c r="F279" s="14" t="s">
        <v>39</v>
      </c>
      <c r="G279" s="14" t="s">
        <v>39</v>
      </c>
      <c r="H279" s="14"/>
      <c r="I279" s="14" t="s">
        <v>178</v>
      </c>
      <c r="J279" s="14">
        <v>26240</v>
      </c>
      <c r="K279" s="13">
        <v>43077.1</v>
      </c>
      <c r="L279" s="13">
        <v>0</v>
      </c>
      <c r="M279" s="13">
        <v>0</v>
      </c>
      <c r="N279" s="13">
        <v>0</v>
      </c>
      <c r="O279" s="76">
        <v>43077.1</v>
      </c>
      <c r="P279" s="81" t="s">
        <v>272</v>
      </c>
      <c r="Q279" s="123">
        <v>279</v>
      </c>
      <c r="R279" s="13"/>
      <c r="S279" s="13"/>
      <c r="T279" s="13">
        <f>LISTA[[#This Row],[VALOR FINAL]]+LISTA[[#This Row],[TARIFA IN]]+LISTA[[#This Row],[TARIFA OUT ]]</f>
        <v>43077.1</v>
      </c>
    </row>
    <row r="280" spans="1:20" x14ac:dyDescent="0.2">
      <c r="A280" s="201" t="s">
        <v>17</v>
      </c>
      <c r="B280" s="203">
        <v>44883</v>
      </c>
      <c r="C280" s="14" t="s">
        <v>158</v>
      </c>
      <c r="D280" s="14" t="s">
        <v>587</v>
      </c>
      <c r="E280" s="14" t="s">
        <v>588</v>
      </c>
      <c r="F280" s="14" t="s">
        <v>39</v>
      </c>
      <c r="G280" s="14" t="s">
        <v>39</v>
      </c>
      <c r="H280" s="14"/>
      <c r="I280" s="14" t="s">
        <v>202</v>
      </c>
      <c r="J280" s="14">
        <v>1092</v>
      </c>
      <c r="K280" s="13">
        <v>30520</v>
      </c>
      <c r="L280" s="13">
        <v>0</v>
      </c>
      <c r="M280" s="13">
        <v>0</v>
      </c>
      <c r="N280" s="13">
        <v>0</v>
      </c>
      <c r="O280" s="76">
        <v>30520</v>
      </c>
      <c r="P280" s="81" t="s">
        <v>272</v>
      </c>
      <c r="Q280" s="123">
        <v>280</v>
      </c>
      <c r="R280" s="13"/>
      <c r="S280" s="13"/>
      <c r="T280" s="13">
        <f>LISTA[[#This Row],[VALOR FINAL]]+LISTA[[#This Row],[TARIFA IN]]+LISTA[[#This Row],[TARIFA OUT ]]</f>
        <v>30520</v>
      </c>
    </row>
    <row r="281" spans="1:20" x14ac:dyDescent="0.2">
      <c r="A281" s="13" t="s">
        <v>14</v>
      </c>
      <c r="B281" s="203">
        <v>44883</v>
      </c>
      <c r="C281" s="202" t="s">
        <v>90</v>
      </c>
      <c r="D281" s="14" t="s">
        <v>604</v>
      </c>
      <c r="E281" s="14" t="s">
        <v>438</v>
      </c>
      <c r="F281" s="14" t="s">
        <v>123</v>
      </c>
      <c r="G281" s="14" t="s">
        <v>39</v>
      </c>
      <c r="H281" s="14"/>
      <c r="I281" s="14" t="s">
        <v>441</v>
      </c>
      <c r="J281" s="14">
        <v>3875.34</v>
      </c>
      <c r="K281" s="13">
        <v>0</v>
      </c>
      <c r="L281" s="13">
        <v>19725.48</v>
      </c>
      <c r="M281" s="13">
        <v>0</v>
      </c>
      <c r="N281" s="13">
        <v>0</v>
      </c>
      <c r="O281" s="76">
        <v>19725.48</v>
      </c>
      <c r="P281" s="81" t="s">
        <v>272</v>
      </c>
      <c r="Q281" s="123">
        <v>294</v>
      </c>
      <c r="R281" s="13"/>
      <c r="S281" s="13"/>
      <c r="T281" s="13">
        <f>LISTA[[#This Row],[VALOR FINAL]]+LISTA[[#This Row],[TARIFA IN]]+LISTA[[#This Row],[TARIFA OUT ]]</f>
        <v>19725.48</v>
      </c>
    </row>
    <row r="282" spans="1:20" x14ac:dyDescent="0.2">
      <c r="A282" s="13" t="s">
        <v>14</v>
      </c>
      <c r="B282" s="203">
        <v>44887</v>
      </c>
      <c r="C282" s="202" t="s">
        <v>88</v>
      </c>
      <c r="D282" s="14" t="s">
        <v>650</v>
      </c>
      <c r="E282" s="14" t="s">
        <v>438</v>
      </c>
      <c r="F282" s="14" t="s">
        <v>123</v>
      </c>
      <c r="G282" s="14" t="s">
        <v>39</v>
      </c>
      <c r="H282" s="14"/>
      <c r="I282" s="14" t="s">
        <v>441</v>
      </c>
      <c r="J282" s="14">
        <v>4682.2</v>
      </c>
      <c r="K282" s="13">
        <v>0</v>
      </c>
      <c r="L282" s="13">
        <v>23738.75</v>
      </c>
      <c r="M282" s="13">
        <v>0</v>
      </c>
      <c r="N282" s="13">
        <v>0</v>
      </c>
      <c r="O282" s="76">
        <v>23738.75</v>
      </c>
      <c r="P282" s="81" t="s">
        <v>272</v>
      </c>
      <c r="Q282" s="123">
        <v>324</v>
      </c>
      <c r="R282" s="13"/>
      <c r="S282" s="13"/>
      <c r="T282" s="13">
        <f>LISTA[[#This Row],[TARIFA OUT ]]+LISTA[[#This Row],[TARIFA IN]]+LISTA[[#This Row],[VALOR FINAL]]</f>
        <v>23738.75</v>
      </c>
    </row>
    <row r="283" spans="1:20" x14ac:dyDescent="0.2">
      <c r="A283" s="13" t="s">
        <v>14</v>
      </c>
      <c r="B283" s="190">
        <v>44888</v>
      </c>
      <c r="C283" s="202" t="s">
        <v>41</v>
      </c>
      <c r="D283" s="14" t="s">
        <v>699</v>
      </c>
      <c r="E283" s="14" t="s">
        <v>438</v>
      </c>
      <c r="F283" s="14" t="s">
        <v>123</v>
      </c>
      <c r="G283" s="14" t="s">
        <v>39</v>
      </c>
      <c r="H283" s="14"/>
      <c r="I283" s="14" t="s">
        <v>441</v>
      </c>
      <c r="J283" s="14">
        <v>5349.68</v>
      </c>
      <c r="K283" s="13">
        <v>0</v>
      </c>
      <c r="L283" s="13">
        <v>27122.880000000001</v>
      </c>
      <c r="M283" s="13">
        <v>0</v>
      </c>
      <c r="N283" s="13">
        <v>0</v>
      </c>
      <c r="O283" s="76">
        <v>27122.880000000001</v>
      </c>
      <c r="P283" s="81" t="s">
        <v>272</v>
      </c>
      <c r="Q283" s="123">
        <v>430</v>
      </c>
      <c r="R283" s="123"/>
      <c r="S283" s="123"/>
      <c r="T283" s="13">
        <f>LISTA[[#This Row],[TARIFA OUT ]]+LISTA[[#This Row],[TARIFA IN]]+LISTA[[#This Row],[VALOR FINAL]]</f>
        <v>27122.880000000001</v>
      </c>
    </row>
    <row r="284" spans="1:20" x14ac:dyDescent="0.2">
      <c r="A284" s="13" t="s">
        <v>14</v>
      </c>
      <c r="B284" s="203">
        <v>44882</v>
      </c>
      <c r="C284" s="202" t="s">
        <v>89</v>
      </c>
      <c r="D284" s="14" t="s">
        <v>557</v>
      </c>
      <c r="E284" s="14" t="s">
        <v>323</v>
      </c>
      <c r="F284" s="14" t="s">
        <v>123</v>
      </c>
      <c r="G284" s="14" t="s">
        <v>39</v>
      </c>
      <c r="H284" s="14"/>
      <c r="I284" s="14" t="s">
        <v>324</v>
      </c>
      <c r="J284" s="14">
        <v>1528.48</v>
      </c>
      <c r="K284" s="13">
        <v>0</v>
      </c>
      <c r="L284" s="13">
        <v>15086.1</v>
      </c>
      <c r="M284" s="13"/>
      <c r="N284" s="13">
        <v>0</v>
      </c>
      <c r="O284" s="76">
        <v>15086.1</v>
      </c>
      <c r="P284" s="81" t="s">
        <v>272</v>
      </c>
      <c r="Q284" s="123">
        <v>235</v>
      </c>
      <c r="R284" s="13">
        <v>0</v>
      </c>
      <c r="S284" s="13">
        <v>3777.0590260800004</v>
      </c>
      <c r="T284" s="13">
        <f>LISTA[[#This Row],[VALOR FINAL]]+LISTA[[#This Row],[TARIFA IN]]+LISTA[[#This Row],[TARIFA OUT ]]</f>
        <v>18863.15902608</v>
      </c>
    </row>
    <row r="285" spans="1:20" x14ac:dyDescent="0.2">
      <c r="A285" s="13" t="s">
        <v>14</v>
      </c>
      <c r="B285" s="203">
        <v>44883</v>
      </c>
      <c r="C285" s="202" t="s">
        <v>148</v>
      </c>
      <c r="D285" s="14" t="s">
        <v>618</v>
      </c>
      <c r="E285" s="14" t="s">
        <v>196</v>
      </c>
      <c r="F285" s="14" t="s">
        <v>197</v>
      </c>
      <c r="G285" s="14" t="s">
        <v>39</v>
      </c>
      <c r="H285" s="14"/>
      <c r="I285" s="14" t="s">
        <v>165</v>
      </c>
      <c r="J285" s="14">
        <v>1528.48</v>
      </c>
      <c r="K285" s="13">
        <v>0</v>
      </c>
      <c r="L285" s="13">
        <v>7611.83</v>
      </c>
      <c r="M285" s="13"/>
      <c r="N285" s="13">
        <v>0</v>
      </c>
      <c r="O285" s="76">
        <v>7611.83</v>
      </c>
      <c r="P285" s="81" t="s">
        <v>272</v>
      </c>
      <c r="Q285" s="123">
        <v>302</v>
      </c>
      <c r="R285" s="13"/>
      <c r="S285" s="13"/>
      <c r="T285" s="13">
        <f>LISTA[[#This Row],[VALOR FINAL]]+LISTA[[#This Row],[TARIFA IN]]+LISTA[[#This Row],[TARIFA OUT ]]</f>
        <v>7611.83</v>
      </c>
    </row>
    <row r="286" spans="1:20" x14ac:dyDescent="0.2">
      <c r="A286" s="13" t="s">
        <v>14</v>
      </c>
      <c r="B286" s="203">
        <v>44883</v>
      </c>
      <c r="C286" s="202" t="s">
        <v>148</v>
      </c>
      <c r="D286" s="14" t="s">
        <v>619</v>
      </c>
      <c r="E286" s="14" t="s">
        <v>196</v>
      </c>
      <c r="F286" s="14" t="s">
        <v>197</v>
      </c>
      <c r="G286" s="14" t="s">
        <v>39</v>
      </c>
      <c r="H286" s="14"/>
      <c r="I286" s="14" t="s">
        <v>165</v>
      </c>
      <c r="J286" s="14">
        <v>388.02</v>
      </c>
      <c r="K286" s="13">
        <v>0</v>
      </c>
      <c r="L286" s="13">
        <v>1947.86</v>
      </c>
      <c r="M286" s="13"/>
      <c r="N286" s="13">
        <v>0</v>
      </c>
      <c r="O286" s="76">
        <v>1947.86</v>
      </c>
      <c r="P286" s="81" t="s">
        <v>272</v>
      </c>
      <c r="Q286" s="123">
        <v>303</v>
      </c>
      <c r="R286" s="13"/>
      <c r="S286" s="13"/>
      <c r="T286" s="13">
        <f>LISTA[[#This Row],[VALOR FINAL]]+LISTA[[#This Row],[TARIFA IN]]+LISTA[[#This Row],[TARIFA OUT ]]</f>
        <v>1947.86</v>
      </c>
    </row>
    <row r="287" spans="1:20" x14ac:dyDescent="0.2">
      <c r="A287" s="13" t="s">
        <v>14</v>
      </c>
      <c r="B287" s="203">
        <v>44882</v>
      </c>
      <c r="C287" s="202" t="s">
        <v>90</v>
      </c>
      <c r="D287" s="14" t="s">
        <v>564</v>
      </c>
      <c r="E287" s="14" t="s">
        <v>189</v>
      </c>
      <c r="F287" s="14" t="s">
        <v>190</v>
      </c>
      <c r="G287" s="14" t="s">
        <v>39</v>
      </c>
      <c r="H287" s="14"/>
      <c r="I287" s="14" t="s">
        <v>191</v>
      </c>
      <c r="J287" s="14">
        <v>4842.34</v>
      </c>
      <c r="K287" s="13">
        <v>0</v>
      </c>
      <c r="L287" s="13">
        <v>15640.76</v>
      </c>
      <c r="M287" s="13"/>
      <c r="N287" s="13">
        <v>0</v>
      </c>
      <c r="O287" s="76">
        <v>15640.76</v>
      </c>
      <c r="P287" s="81" t="s">
        <v>272</v>
      </c>
      <c r="Q287" s="123">
        <v>239</v>
      </c>
      <c r="R287" s="13">
        <v>0</v>
      </c>
      <c r="S287" s="13">
        <v>11966.008063140001</v>
      </c>
      <c r="T287" s="13">
        <f>LISTA[[#This Row],[VALOR FINAL]]+LISTA[[#This Row],[TARIFA IN]]+LISTA[[#This Row],[TARIFA OUT ]]</f>
        <v>27606.76806314</v>
      </c>
    </row>
    <row r="288" spans="1:20" x14ac:dyDescent="0.2">
      <c r="A288" s="13" t="s">
        <v>14</v>
      </c>
      <c r="B288" s="203">
        <v>44882</v>
      </c>
      <c r="C288" s="202" t="s">
        <v>89</v>
      </c>
      <c r="D288" s="14" t="s">
        <v>558</v>
      </c>
      <c r="E288" s="14" t="s">
        <v>357</v>
      </c>
      <c r="F288" s="14" t="s">
        <v>123</v>
      </c>
      <c r="G288" s="14" t="s">
        <v>39</v>
      </c>
      <c r="H288" s="14"/>
      <c r="I288" s="14" t="s">
        <v>358</v>
      </c>
      <c r="J288" s="14">
        <v>6452.79</v>
      </c>
      <c r="K288" s="13">
        <v>0</v>
      </c>
      <c r="L288" s="13">
        <v>32715.65</v>
      </c>
      <c r="M288" s="13"/>
      <c r="N288" s="13">
        <v>0</v>
      </c>
      <c r="O288" s="13">
        <v>32715.65</v>
      </c>
      <c r="P288" s="81" t="s">
        <v>272</v>
      </c>
      <c r="Q288" s="123">
        <v>236</v>
      </c>
      <c r="R288" s="13">
        <v>0</v>
      </c>
      <c r="S288" s="13">
        <v>15945.62487759</v>
      </c>
      <c r="T288" s="13">
        <f>LISTA[[#This Row],[VALOR FINAL]]+LISTA[[#This Row],[TARIFA IN]]+LISTA[[#This Row],[TARIFA OUT ]]</f>
        <v>48661.274877590004</v>
      </c>
    </row>
    <row r="289" spans="1:20" x14ac:dyDescent="0.2">
      <c r="A289" s="13" t="s">
        <v>14</v>
      </c>
      <c r="B289" s="203">
        <v>44887</v>
      </c>
      <c r="C289" s="202" t="s">
        <v>148</v>
      </c>
      <c r="D289" s="14" t="s">
        <v>664</v>
      </c>
      <c r="E289" s="14" t="s">
        <v>357</v>
      </c>
      <c r="F289" s="14" t="s">
        <v>123</v>
      </c>
      <c r="G289" s="14" t="s">
        <v>39</v>
      </c>
      <c r="H289" s="14"/>
      <c r="I289" s="14" t="s">
        <v>516</v>
      </c>
      <c r="J289" s="14">
        <v>375.6</v>
      </c>
      <c r="K289" s="13">
        <v>0</v>
      </c>
      <c r="L289" s="13">
        <v>1911.8</v>
      </c>
      <c r="M289" s="13"/>
      <c r="N289" s="13">
        <v>0</v>
      </c>
      <c r="O289" s="76">
        <v>1911.8</v>
      </c>
      <c r="P289" s="81" t="s">
        <v>272</v>
      </c>
      <c r="Q289" s="123">
        <v>335</v>
      </c>
      <c r="R289" s="13"/>
      <c r="S289" s="13"/>
      <c r="T289" s="13">
        <f>LISTA[[#This Row],[TARIFA OUT ]]+LISTA[[#This Row],[TARIFA IN]]+LISTA[[#This Row],[VALOR FINAL]]</f>
        <v>1911.8</v>
      </c>
    </row>
    <row r="290" spans="1:20" x14ac:dyDescent="0.2">
      <c r="A290" s="13" t="s">
        <v>14</v>
      </c>
      <c r="B290" s="203">
        <v>44882</v>
      </c>
      <c r="C290" s="202" t="s">
        <v>91</v>
      </c>
      <c r="D290" s="14" t="s">
        <v>573</v>
      </c>
      <c r="E290" s="14" t="s">
        <v>409</v>
      </c>
      <c r="F290" s="14" t="s">
        <v>119</v>
      </c>
      <c r="G290" s="14" t="s">
        <v>97</v>
      </c>
      <c r="H290" s="14"/>
      <c r="I290" s="14" t="s">
        <v>412</v>
      </c>
      <c r="J290" s="14">
        <v>393.96</v>
      </c>
      <c r="K290" s="13">
        <v>0</v>
      </c>
      <c r="L290" s="13">
        <v>1977.68</v>
      </c>
      <c r="M290" s="13">
        <f>+LISTA[[#This Row],[KILOS]]*21.28</f>
        <v>8383.4688000000006</v>
      </c>
      <c r="N290" s="13">
        <v>0</v>
      </c>
      <c r="O290" s="76">
        <v>10361.15</v>
      </c>
      <c r="P290" s="81" t="s">
        <v>272</v>
      </c>
      <c r="Q290" s="123">
        <v>245</v>
      </c>
      <c r="R290" s="13">
        <v>0</v>
      </c>
      <c r="S290" s="13">
        <v>973.52282916000001</v>
      </c>
      <c r="T290" s="13">
        <f>LISTA[[#This Row],[VALOR FINAL]]+LISTA[[#This Row],[TARIFA IN]]+LISTA[[#This Row],[TARIFA OUT ]]</f>
        <v>11334.672829159999</v>
      </c>
    </row>
    <row r="291" spans="1:20" x14ac:dyDescent="0.2">
      <c r="A291" s="13" t="s">
        <v>14</v>
      </c>
      <c r="B291" s="203">
        <v>44882</v>
      </c>
      <c r="C291" s="202" t="s">
        <v>38</v>
      </c>
      <c r="D291" s="14" t="s">
        <v>534</v>
      </c>
      <c r="E291" s="14" t="s">
        <v>353</v>
      </c>
      <c r="F291" s="14" t="s">
        <v>535</v>
      </c>
      <c r="G291" s="14" t="s">
        <v>97</v>
      </c>
      <c r="H291" s="14"/>
      <c r="I291" s="14" t="s">
        <v>536</v>
      </c>
      <c r="J291" s="14">
        <v>187.8</v>
      </c>
      <c r="K291" s="13"/>
      <c r="L291" s="13">
        <v>1021.38</v>
      </c>
      <c r="M291" s="13">
        <v>4208.6000000000004</v>
      </c>
      <c r="N291" s="13">
        <v>0</v>
      </c>
      <c r="O291" s="76">
        <v>5229.9799999999996</v>
      </c>
      <c r="P291" s="81" t="s">
        <v>272</v>
      </c>
      <c r="Q291" s="123">
        <v>224</v>
      </c>
      <c r="R291" s="13">
        <v>0</v>
      </c>
      <c r="S291" s="13">
        <v>464.07652380000007</v>
      </c>
      <c r="T291" s="13">
        <f>LISTA[[#This Row],[VALOR FINAL]]+LISTA[[#This Row],[TARIFA IN]]+LISTA[[#This Row],[TARIFA OUT ]]</f>
        <v>5694.0565237999999</v>
      </c>
    </row>
    <row r="292" spans="1:20" x14ac:dyDescent="0.2">
      <c r="A292" s="13" t="s">
        <v>14</v>
      </c>
      <c r="B292" s="203">
        <v>44882</v>
      </c>
      <c r="C292" s="202" t="s">
        <v>148</v>
      </c>
      <c r="D292" s="14" t="s">
        <v>578</v>
      </c>
      <c r="E292" s="14" t="s">
        <v>204</v>
      </c>
      <c r="F292" s="14" t="s">
        <v>205</v>
      </c>
      <c r="G292" s="14" t="s">
        <v>39</v>
      </c>
      <c r="H292" s="14"/>
      <c r="I292" s="14" t="s">
        <v>163</v>
      </c>
      <c r="J292" s="14">
        <v>2637.66</v>
      </c>
      <c r="K292" s="13">
        <v>0</v>
      </c>
      <c r="L292" s="13">
        <v>13135.55</v>
      </c>
      <c r="M292" s="13"/>
      <c r="N292" s="13">
        <v>0</v>
      </c>
      <c r="O292" s="76">
        <v>13135.55</v>
      </c>
      <c r="P292" s="81" t="s">
        <v>272</v>
      </c>
      <c r="Q292" s="123">
        <v>250</v>
      </c>
      <c r="R292" s="13">
        <v>0</v>
      </c>
      <c r="S292" s="13">
        <v>6517.9770168599998</v>
      </c>
      <c r="T292" s="13">
        <f>LISTA[[#This Row],[VALOR FINAL]]+LISTA[[#This Row],[TARIFA IN]]+LISTA[[#This Row],[TARIFA OUT ]]</f>
        <v>19653.52701686</v>
      </c>
    </row>
    <row r="293" spans="1:20" x14ac:dyDescent="0.2">
      <c r="A293" s="13" t="s">
        <v>14</v>
      </c>
      <c r="B293" s="203">
        <v>44882</v>
      </c>
      <c r="C293" s="202" t="s">
        <v>91</v>
      </c>
      <c r="D293" s="14" t="s">
        <v>574</v>
      </c>
      <c r="E293" s="14" t="s">
        <v>432</v>
      </c>
      <c r="F293" s="14" t="s">
        <v>433</v>
      </c>
      <c r="G293" s="14" t="s">
        <v>39</v>
      </c>
      <c r="H293" s="14"/>
      <c r="I293" s="14" t="s">
        <v>315</v>
      </c>
      <c r="J293" s="14">
        <v>187.8</v>
      </c>
      <c r="K293" s="13">
        <v>0</v>
      </c>
      <c r="L293" s="13">
        <v>1021.38</v>
      </c>
      <c r="M293" s="13">
        <v>0</v>
      </c>
      <c r="N293" s="13">
        <v>0</v>
      </c>
      <c r="O293" s="76">
        <v>1021.38</v>
      </c>
      <c r="P293" s="81" t="s">
        <v>272</v>
      </c>
      <c r="Q293" s="123">
        <v>246</v>
      </c>
      <c r="R293" s="13">
        <v>0</v>
      </c>
      <c r="S293" s="13">
        <v>464.07652380000007</v>
      </c>
      <c r="T293" s="13">
        <f>LISTA[[#This Row],[VALOR FINAL]]+LISTA[[#This Row],[TARIFA IN]]+LISTA[[#This Row],[TARIFA OUT ]]</f>
        <v>1485.4565238</v>
      </c>
    </row>
    <row r="294" spans="1:20" x14ac:dyDescent="0.2">
      <c r="A294" s="13" t="s">
        <v>14</v>
      </c>
      <c r="B294" s="203">
        <v>44882</v>
      </c>
      <c r="C294" s="202" t="s">
        <v>38</v>
      </c>
      <c r="D294" s="14" t="s">
        <v>537</v>
      </c>
      <c r="E294" s="14" t="s">
        <v>340</v>
      </c>
      <c r="F294" s="14" t="s">
        <v>538</v>
      </c>
      <c r="G294" s="14" t="s">
        <v>97</v>
      </c>
      <c r="H294" s="14"/>
      <c r="I294" s="14" t="s">
        <v>341</v>
      </c>
      <c r="J294" s="14">
        <v>450.24</v>
      </c>
      <c r="K294" s="13"/>
      <c r="L294" s="13">
        <v>2260.1999999999998</v>
      </c>
      <c r="M294" s="13">
        <v>8775.18</v>
      </c>
      <c r="N294" s="13">
        <v>0</v>
      </c>
      <c r="O294" s="76">
        <v>11035.38</v>
      </c>
      <c r="P294" s="81" t="s">
        <v>272</v>
      </c>
      <c r="Q294" s="123">
        <v>225</v>
      </c>
      <c r="R294" s="13">
        <v>0</v>
      </c>
      <c r="S294" s="13">
        <v>1112.5975190400002</v>
      </c>
      <c r="T294" s="13">
        <f>LISTA[[#This Row],[VALOR FINAL]]+LISTA[[#This Row],[TARIFA IN]]+LISTA[[#This Row],[TARIFA OUT ]]</f>
        <v>12147.97751904</v>
      </c>
    </row>
    <row r="295" spans="1:20" x14ac:dyDescent="0.2">
      <c r="A295" s="13" t="s">
        <v>14</v>
      </c>
      <c r="B295" s="203">
        <v>44882</v>
      </c>
      <c r="C295" s="202" t="s">
        <v>38</v>
      </c>
      <c r="D295" s="14" t="s">
        <v>539</v>
      </c>
      <c r="E295" s="14" t="s">
        <v>414</v>
      </c>
      <c r="F295" s="14" t="s">
        <v>540</v>
      </c>
      <c r="G295" s="14" t="s">
        <v>97</v>
      </c>
      <c r="H295" s="14"/>
      <c r="I295" s="14" t="s">
        <v>415</v>
      </c>
      <c r="J295" s="14">
        <v>600.32000000000005</v>
      </c>
      <c r="K295" s="13"/>
      <c r="L295" s="13">
        <v>3013.61</v>
      </c>
      <c r="M295" s="13">
        <v>9389</v>
      </c>
      <c r="N295" s="13">
        <v>0</v>
      </c>
      <c r="O295" s="76">
        <v>12402.61</v>
      </c>
      <c r="P295" s="81" t="s">
        <v>272</v>
      </c>
      <c r="Q295" s="123">
        <v>226</v>
      </c>
      <c r="R295" s="13">
        <v>0</v>
      </c>
      <c r="S295" s="13">
        <v>1483.4633587200001</v>
      </c>
      <c r="T295" s="13">
        <f>LISTA[[#This Row],[VALOR FINAL]]+LISTA[[#This Row],[TARIFA IN]]+LISTA[[#This Row],[TARIFA OUT ]]</f>
        <v>13886.073358720001</v>
      </c>
    </row>
    <row r="296" spans="1:20" x14ac:dyDescent="0.2">
      <c r="A296" s="13" t="s">
        <v>14</v>
      </c>
      <c r="B296" s="203">
        <v>44882</v>
      </c>
      <c r="C296" s="202" t="s">
        <v>38</v>
      </c>
      <c r="D296" s="14" t="s">
        <v>541</v>
      </c>
      <c r="E296" s="14" t="s">
        <v>194</v>
      </c>
      <c r="F296" s="14" t="s">
        <v>417</v>
      </c>
      <c r="G296" s="14" t="s">
        <v>97</v>
      </c>
      <c r="H296" s="14"/>
      <c r="I296" s="14" t="s">
        <v>195</v>
      </c>
      <c r="J296" s="14">
        <v>900.48</v>
      </c>
      <c r="K296" s="13"/>
      <c r="L296" s="13">
        <v>4520.41</v>
      </c>
      <c r="M296" s="13">
        <v>15551.29</v>
      </c>
      <c r="N296" s="13">
        <v>0</v>
      </c>
      <c r="O296" s="76">
        <v>20071.7</v>
      </c>
      <c r="P296" s="81" t="s">
        <v>272</v>
      </c>
      <c r="Q296" s="123">
        <v>227</v>
      </c>
      <c r="R296" s="13">
        <v>0</v>
      </c>
      <c r="S296" s="13">
        <v>2225.1950380800004</v>
      </c>
      <c r="T296" s="13">
        <f>LISTA[[#This Row],[VALOR FINAL]]+LISTA[[#This Row],[TARIFA IN]]+LISTA[[#This Row],[TARIFA OUT ]]</f>
        <v>22296.895038080002</v>
      </c>
    </row>
    <row r="297" spans="1:20" x14ac:dyDescent="0.2">
      <c r="A297" s="13" t="s">
        <v>14</v>
      </c>
      <c r="B297" s="203">
        <v>44882</v>
      </c>
      <c r="C297" s="202" t="s">
        <v>38</v>
      </c>
      <c r="D297" s="14" t="s">
        <v>542</v>
      </c>
      <c r="E297" s="14" t="s">
        <v>506</v>
      </c>
      <c r="F297" s="14" t="s">
        <v>373</v>
      </c>
      <c r="G297" s="14" t="s">
        <v>97</v>
      </c>
      <c r="H297" s="14"/>
      <c r="I297" s="14" t="s">
        <v>507</v>
      </c>
      <c r="J297" s="14">
        <v>1800.96</v>
      </c>
      <c r="K297" s="13"/>
      <c r="L297" s="13">
        <v>8968.7800000000007</v>
      </c>
      <c r="M297" s="13">
        <v>36757.589999999997</v>
      </c>
      <c r="N297" s="13">
        <v>0</v>
      </c>
      <c r="O297" s="76">
        <v>45726.37</v>
      </c>
      <c r="P297" s="81" t="s">
        <v>272</v>
      </c>
      <c r="Q297" s="123">
        <v>228</v>
      </c>
      <c r="R297" s="13">
        <v>0</v>
      </c>
      <c r="S297" s="13">
        <v>4450.3900761600007</v>
      </c>
      <c r="T297" s="13">
        <f>LISTA[[#This Row],[VALOR FINAL]]+LISTA[[#This Row],[TARIFA IN]]+LISTA[[#This Row],[TARIFA OUT ]]</f>
        <v>50176.760076160004</v>
      </c>
    </row>
    <row r="298" spans="1:20" x14ac:dyDescent="0.2">
      <c r="A298" s="13" t="s">
        <v>14</v>
      </c>
      <c r="B298" s="203">
        <v>44882</v>
      </c>
      <c r="C298" s="202" t="s">
        <v>91</v>
      </c>
      <c r="D298" s="14" t="s">
        <v>575</v>
      </c>
      <c r="E298" s="14" t="s">
        <v>492</v>
      </c>
      <c r="F298" s="14" t="s">
        <v>493</v>
      </c>
      <c r="G298" s="14" t="s">
        <v>39</v>
      </c>
      <c r="H298" s="14"/>
      <c r="I298" s="14" t="s">
        <v>328</v>
      </c>
      <c r="J298" s="14">
        <v>20.440000000000001</v>
      </c>
      <c r="K298" s="13">
        <v>0</v>
      </c>
      <c r="L298" s="13">
        <v>1021.38</v>
      </c>
      <c r="M298" s="13">
        <v>0</v>
      </c>
      <c r="N298" s="13">
        <v>0</v>
      </c>
      <c r="O298" s="76">
        <v>1021.38</v>
      </c>
      <c r="P298" s="81" t="s">
        <v>272</v>
      </c>
      <c r="Q298" s="123">
        <v>247</v>
      </c>
      <c r="R298" s="13">
        <v>0</v>
      </c>
      <c r="S298" s="13">
        <v>50.509713240000004</v>
      </c>
      <c r="T298" s="13">
        <f>LISTA[[#This Row],[VALOR FINAL]]+LISTA[[#This Row],[TARIFA IN]]+LISTA[[#This Row],[TARIFA OUT ]]</f>
        <v>1071.88971324</v>
      </c>
    </row>
    <row r="299" spans="1:20" x14ac:dyDescent="0.2">
      <c r="A299" s="13" t="s">
        <v>14</v>
      </c>
      <c r="B299" s="203">
        <v>44882</v>
      </c>
      <c r="C299" s="202" t="s">
        <v>38</v>
      </c>
      <c r="D299" s="14" t="s">
        <v>543</v>
      </c>
      <c r="E299" s="14" t="s">
        <v>544</v>
      </c>
      <c r="F299" s="14" t="s">
        <v>162</v>
      </c>
      <c r="G299" s="14" t="s">
        <v>97</v>
      </c>
      <c r="H299" s="14"/>
      <c r="I299" s="14" t="s">
        <v>545</v>
      </c>
      <c r="J299" s="14">
        <v>1091.7</v>
      </c>
      <c r="K299" s="13"/>
      <c r="L299" s="13">
        <v>5436.67</v>
      </c>
      <c r="M299" s="13">
        <v>23930.06</v>
      </c>
      <c r="N299" s="13">
        <v>0</v>
      </c>
      <c r="O299" s="76">
        <v>29366.73</v>
      </c>
      <c r="P299" s="81" t="s">
        <v>272</v>
      </c>
      <c r="Q299" s="123">
        <v>229</v>
      </c>
      <c r="R299" s="13">
        <v>0</v>
      </c>
      <c r="S299" s="13">
        <v>2697.7227957000005</v>
      </c>
      <c r="T299" s="13">
        <f>LISTA[[#This Row],[VALOR FINAL]]+LISTA[[#This Row],[TARIFA IN]]+LISTA[[#This Row],[TARIFA OUT ]]</f>
        <v>32064.452795699999</v>
      </c>
    </row>
    <row r="300" spans="1:20" x14ac:dyDescent="0.2">
      <c r="A300" s="13" t="s">
        <v>14</v>
      </c>
      <c r="B300" s="203">
        <v>44882</v>
      </c>
      <c r="C300" s="202" t="s">
        <v>38</v>
      </c>
      <c r="D300" s="14" t="s">
        <v>546</v>
      </c>
      <c r="E300" s="14" t="s">
        <v>117</v>
      </c>
      <c r="F300" s="14" t="s">
        <v>538</v>
      </c>
      <c r="G300" s="14" t="s">
        <v>97</v>
      </c>
      <c r="H300" s="14"/>
      <c r="I300" s="14" t="s">
        <v>216</v>
      </c>
      <c r="J300" s="14">
        <v>1125.5999999999999</v>
      </c>
      <c r="K300" s="13"/>
      <c r="L300" s="13">
        <v>5605.49</v>
      </c>
      <c r="M300" s="13">
        <v>21836.639999999999</v>
      </c>
      <c r="N300" s="13">
        <v>0</v>
      </c>
      <c r="O300" s="76">
        <v>27442.13</v>
      </c>
      <c r="P300" s="81" t="s">
        <v>272</v>
      </c>
      <c r="Q300" s="123">
        <v>230</v>
      </c>
      <c r="R300" s="13">
        <v>0</v>
      </c>
      <c r="S300" s="13">
        <v>2781.4937976000001</v>
      </c>
      <c r="T300" s="13">
        <f>LISTA[[#This Row],[VALOR FINAL]]+LISTA[[#This Row],[TARIFA IN]]+LISTA[[#This Row],[TARIFA OUT ]]</f>
        <v>30223.623797600001</v>
      </c>
    </row>
    <row r="301" spans="1:20" x14ac:dyDescent="0.2">
      <c r="A301" s="13" t="s">
        <v>14</v>
      </c>
      <c r="B301" s="203">
        <v>44882</v>
      </c>
      <c r="C301" s="202" t="s">
        <v>38</v>
      </c>
      <c r="D301" s="14" t="s">
        <v>547</v>
      </c>
      <c r="E301" s="14" t="s">
        <v>548</v>
      </c>
      <c r="F301" s="14" t="s">
        <v>162</v>
      </c>
      <c r="G301" s="14" t="s">
        <v>97</v>
      </c>
      <c r="H301" s="14"/>
      <c r="I301" s="14" t="s">
        <v>549</v>
      </c>
      <c r="J301" s="14">
        <v>3608.9</v>
      </c>
      <c r="K301" s="13"/>
      <c r="L301" s="13">
        <v>17972.32</v>
      </c>
      <c r="M301" s="13">
        <v>66475.94</v>
      </c>
      <c r="N301" s="13">
        <v>0</v>
      </c>
      <c r="O301" s="76">
        <v>84448.26</v>
      </c>
      <c r="P301" s="81" t="s">
        <v>272</v>
      </c>
      <c r="Q301" s="123">
        <v>231</v>
      </c>
      <c r="R301" s="13">
        <v>0</v>
      </c>
      <c r="S301" s="13">
        <v>8918.0285769000002</v>
      </c>
      <c r="T301" s="13">
        <f>LISTA[[#This Row],[VALOR FINAL]]+LISTA[[#This Row],[TARIFA IN]]+LISTA[[#This Row],[TARIFA OUT ]]</f>
        <v>93366.288576899999</v>
      </c>
    </row>
    <row r="302" spans="1:20" x14ac:dyDescent="0.2">
      <c r="A302" s="13" t="s">
        <v>14</v>
      </c>
      <c r="B302" s="203">
        <v>44882</v>
      </c>
      <c r="C302" s="202" t="s">
        <v>38</v>
      </c>
      <c r="D302" s="14" t="s">
        <v>550</v>
      </c>
      <c r="E302" s="14" t="s">
        <v>551</v>
      </c>
      <c r="F302" s="14" t="s">
        <v>162</v>
      </c>
      <c r="G302" s="14" t="s">
        <v>97</v>
      </c>
      <c r="H302" s="14"/>
      <c r="I302" s="14" t="s">
        <v>307</v>
      </c>
      <c r="J302" s="14">
        <v>151</v>
      </c>
      <c r="K302" s="13"/>
      <c r="L302" s="13">
        <v>1021.38</v>
      </c>
      <c r="M302" s="13">
        <v>2571.16</v>
      </c>
      <c r="N302" s="13">
        <v>0</v>
      </c>
      <c r="O302" s="76">
        <v>3592.54</v>
      </c>
      <c r="P302" s="81" t="s">
        <v>272</v>
      </c>
      <c r="Q302" s="123">
        <v>232</v>
      </c>
      <c r="R302" s="13">
        <v>0</v>
      </c>
      <c r="S302" s="13">
        <v>37.066815000000005</v>
      </c>
      <c r="T302" s="13">
        <f>LISTA[[#This Row],[VALOR FINAL]]+LISTA[[#This Row],[TARIFA IN]]+LISTA[[#This Row],[TARIFA OUT ]]</f>
        <v>3629.6068150000001</v>
      </c>
    </row>
    <row r="303" spans="1:20" x14ac:dyDescent="0.2">
      <c r="A303" s="13" t="s">
        <v>14</v>
      </c>
      <c r="B303" s="203">
        <v>44882</v>
      </c>
      <c r="C303" s="202" t="s">
        <v>148</v>
      </c>
      <c r="D303" s="14" t="s">
        <v>579</v>
      </c>
      <c r="E303" s="14" t="s">
        <v>204</v>
      </c>
      <c r="F303" s="14" t="s">
        <v>205</v>
      </c>
      <c r="G303" s="14" t="s">
        <v>39</v>
      </c>
      <c r="H303" s="14"/>
      <c r="I303" s="14" t="s">
        <v>163</v>
      </c>
      <c r="J303" s="14">
        <v>174.48</v>
      </c>
      <c r="K303" s="13">
        <v>0</v>
      </c>
      <c r="L303" s="13">
        <v>1021.38</v>
      </c>
      <c r="M303" s="13"/>
      <c r="N303" s="13">
        <v>0</v>
      </c>
      <c r="O303" s="76">
        <v>1021.38</v>
      </c>
      <c r="P303" s="81" t="s">
        <v>272</v>
      </c>
      <c r="Q303" s="123">
        <v>251</v>
      </c>
      <c r="R303" s="13">
        <v>0</v>
      </c>
      <c r="S303" s="13">
        <v>431.16119207999998</v>
      </c>
      <c r="T303" s="13">
        <f>LISTA[[#This Row],[VALOR FINAL]]+LISTA[[#This Row],[TARIFA IN]]+LISTA[[#This Row],[TARIFA OUT ]]</f>
        <v>1452.54119208</v>
      </c>
    </row>
    <row r="304" spans="1:20" x14ac:dyDescent="0.2">
      <c r="A304" s="13" t="s">
        <v>14</v>
      </c>
      <c r="B304" s="203">
        <v>44882</v>
      </c>
      <c r="C304" s="202" t="s">
        <v>90</v>
      </c>
      <c r="D304" s="14" t="s">
        <v>565</v>
      </c>
      <c r="E304" s="14" t="s">
        <v>566</v>
      </c>
      <c r="F304" s="14" t="s">
        <v>567</v>
      </c>
      <c r="G304" s="14" t="s">
        <v>39</v>
      </c>
      <c r="H304" s="14"/>
      <c r="I304" s="14" t="s">
        <v>568</v>
      </c>
      <c r="J304" s="14">
        <v>1610.89</v>
      </c>
      <c r="K304" s="13">
        <v>0</v>
      </c>
      <c r="L304" s="13">
        <v>8022.23</v>
      </c>
      <c r="M304" s="13"/>
      <c r="N304" s="13">
        <v>0</v>
      </c>
      <c r="O304" s="76">
        <v>8022.23</v>
      </c>
      <c r="P304" s="81" t="s">
        <v>272</v>
      </c>
      <c r="Q304" s="123">
        <v>240</v>
      </c>
      <c r="R304" s="13">
        <v>0</v>
      </c>
      <c r="S304" s="13">
        <v>3980.7041076900005</v>
      </c>
      <c r="T304" s="13">
        <f>LISTA[[#This Row],[VALOR FINAL]]+LISTA[[#This Row],[TARIFA IN]]+LISTA[[#This Row],[TARIFA OUT ]]</f>
        <v>12002.93410769</v>
      </c>
    </row>
    <row r="305" spans="1:20" x14ac:dyDescent="0.2">
      <c r="A305" s="13" t="s">
        <v>14</v>
      </c>
      <c r="B305" s="203">
        <v>44882</v>
      </c>
      <c r="C305" s="202" t="s">
        <v>38</v>
      </c>
      <c r="D305" s="14" t="s">
        <v>552</v>
      </c>
      <c r="E305" s="14" t="s">
        <v>553</v>
      </c>
      <c r="F305" s="14" t="s">
        <v>535</v>
      </c>
      <c r="G305" s="14" t="s">
        <v>97</v>
      </c>
      <c r="H305" s="14"/>
      <c r="I305" s="14" t="s">
        <v>219</v>
      </c>
      <c r="J305" s="14">
        <v>195.98</v>
      </c>
      <c r="K305" s="13">
        <v>0</v>
      </c>
      <c r="L305" s="13">
        <v>1021.38</v>
      </c>
      <c r="M305" s="13">
        <v>4391.91</v>
      </c>
      <c r="N305" s="13">
        <v>0</v>
      </c>
      <c r="O305" s="76">
        <v>5413.29</v>
      </c>
      <c r="P305" s="81" t="s">
        <v>272</v>
      </c>
      <c r="Q305" s="123">
        <v>233</v>
      </c>
      <c r="R305" s="13">
        <v>0</v>
      </c>
      <c r="S305" s="13">
        <v>484.29029358000003</v>
      </c>
      <c r="T305" s="13">
        <f>LISTA[[#This Row],[VALOR FINAL]]+LISTA[[#This Row],[TARIFA IN]]+LISTA[[#This Row],[TARIFA OUT ]]</f>
        <v>5897.5802935800002</v>
      </c>
    </row>
    <row r="306" spans="1:20" x14ac:dyDescent="0.2">
      <c r="A306" s="13" t="s">
        <v>14</v>
      </c>
      <c r="B306" s="203">
        <v>44882</v>
      </c>
      <c r="C306" s="202" t="s">
        <v>91</v>
      </c>
      <c r="D306" s="14" t="s">
        <v>576</v>
      </c>
      <c r="E306" s="14" t="s">
        <v>311</v>
      </c>
      <c r="F306" s="14" t="s">
        <v>123</v>
      </c>
      <c r="G306" s="14" t="s">
        <v>39</v>
      </c>
      <c r="H306" s="14"/>
      <c r="I306" s="14" t="s">
        <v>312</v>
      </c>
      <c r="J306" s="14">
        <v>589.79</v>
      </c>
      <c r="K306" s="13">
        <v>0</v>
      </c>
      <c r="L306" s="13">
        <v>3002.03</v>
      </c>
      <c r="M306" s="13">
        <v>0</v>
      </c>
      <c r="N306" s="13">
        <v>0</v>
      </c>
      <c r="O306" s="76">
        <v>3002.03</v>
      </c>
      <c r="P306" s="81" t="s">
        <v>272</v>
      </c>
      <c r="Q306" s="123">
        <v>248</v>
      </c>
      <c r="R306" s="13">
        <v>0</v>
      </c>
      <c r="S306" s="13">
        <v>1457.4424545899999</v>
      </c>
      <c r="T306" s="13">
        <f>LISTA[[#This Row],[VALOR FINAL]]+LISTA[[#This Row],[TARIFA IN]]+LISTA[[#This Row],[TARIFA OUT ]]</f>
        <v>4459.4724545899999</v>
      </c>
    </row>
    <row r="307" spans="1:20" x14ac:dyDescent="0.2">
      <c r="A307" s="13" t="s">
        <v>14</v>
      </c>
      <c r="B307" s="203">
        <v>44882</v>
      </c>
      <c r="C307" s="202" t="s">
        <v>148</v>
      </c>
      <c r="D307" s="14" t="s">
        <v>580</v>
      </c>
      <c r="E307" s="14" t="s">
        <v>581</v>
      </c>
      <c r="F307" s="14" t="s">
        <v>582</v>
      </c>
      <c r="G307" s="14" t="s">
        <v>39</v>
      </c>
      <c r="H307" s="14"/>
      <c r="I307" s="14" t="s">
        <v>583</v>
      </c>
      <c r="J307" s="14">
        <v>3304.28</v>
      </c>
      <c r="K307" s="13">
        <v>0</v>
      </c>
      <c r="L307" s="13">
        <v>16455.310000000001</v>
      </c>
      <c r="M307" s="13"/>
      <c r="N307" s="13">
        <v>0</v>
      </c>
      <c r="O307" s="76">
        <v>16455.310000000001</v>
      </c>
      <c r="P307" s="81" t="s">
        <v>272</v>
      </c>
      <c r="Q307" s="123">
        <v>252</v>
      </c>
      <c r="R307" s="13">
        <v>0</v>
      </c>
      <c r="S307" s="13">
        <v>8165.2756978800007</v>
      </c>
      <c r="T307" s="13">
        <f>LISTA[[#This Row],[VALOR FINAL]]+LISTA[[#This Row],[TARIFA IN]]+LISTA[[#This Row],[TARIFA OUT ]]</f>
        <v>24620.58569788</v>
      </c>
    </row>
    <row r="308" spans="1:20" x14ac:dyDescent="0.2">
      <c r="A308" s="13" t="s">
        <v>14</v>
      </c>
      <c r="B308" s="203">
        <v>44883</v>
      </c>
      <c r="C308" s="202" t="s">
        <v>148</v>
      </c>
      <c r="D308" s="14" t="s">
        <v>620</v>
      </c>
      <c r="E308" s="14" t="s">
        <v>305</v>
      </c>
      <c r="F308" s="14" t="s">
        <v>123</v>
      </c>
      <c r="G308" s="14" t="s">
        <v>39</v>
      </c>
      <c r="H308" s="14"/>
      <c r="I308" s="14" t="s">
        <v>591</v>
      </c>
      <c r="J308" s="14">
        <v>113.64</v>
      </c>
      <c r="K308" s="13">
        <v>0</v>
      </c>
      <c r="L308" s="13">
        <v>1021.38</v>
      </c>
      <c r="M308" s="13"/>
      <c r="N308" s="13">
        <v>0</v>
      </c>
      <c r="O308" s="76">
        <v>1021.38</v>
      </c>
      <c r="P308" s="81" t="s">
        <v>272</v>
      </c>
      <c r="Q308" s="123">
        <v>304</v>
      </c>
      <c r="R308" s="13"/>
      <c r="S308" s="13"/>
      <c r="T308" s="13">
        <f>LISTA[[#This Row],[VALOR FINAL]]+LISTA[[#This Row],[TARIFA IN]]+LISTA[[#This Row],[TARIFA OUT ]]</f>
        <v>1021.38</v>
      </c>
    </row>
    <row r="309" spans="1:20" x14ac:dyDescent="0.2">
      <c r="A309" s="13" t="s">
        <v>14</v>
      </c>
      <c r="B309" s="203">
        <v>44887</v>
      </c>
      <c r="C309" s="202" t="s">
        <v>148</v>
      </c>
      <c r="D309" s="14" t="s">
        <v>665</v>
      </c>
      <c r="E309" s="14" t="s">
        <v>357</v>
      </c>
      <c r="F309" s="14" t="s">
        <v>123</v>
      </c>
      <c r="G309" s="14" t="s">
        <v>39</v>
      </c>
      <c r="H309" s="14"/>
      <c r="I309" s="14" t="s">
        <v>516</v>
      </c>
      <c r="J309" s="14">
        <v>90.91</v>
      </c>
      <c r="K309" s="13">
        <v>0</v>
      </c>
      <c r="L309" s="13">
        <v>1036.48</v>
      </c>
      <c r="M309" s="13"/>
      <c r="N309" s="13">
        <v>0</v>
      </c>
      <c r="O309" s="76">
        <v>1036.48</v>
      </c>
      <c r="P309" s="81" t="s">
        <v>272</v>
      </c>
      <c r="Q309" s="123">
        <v>336</v>
      </c>
      <c r="R309" s="13"/>
      <c r="S309" s="13"/>
      <c r="T309" s="13">
        <f>LISTA[[#This Row],[TARIFA OUT ]]+LISTA[[#This Row],[TARIFA IN]]+LISTA[[#This Row],[VALOR FINAL]]</f>
        <v>1036.48</v>
      </c>
    </row>
    <row r="310" spans="1:20" x14ac:dyDescent="0.2">
      <c r="A310" s="13" t="s">
        <v>14</v>
      </c>
      <c r="B310" s="203">
        <v>44883</v>
      </c>
      <c r="C310" s="202" t="s">
        <v>42</v>
      </c>
      <c r="D310" s="14" t="s">
        <v>605</v>
      </c>
      <c r="E310" s="14" t="s">
        <v>367</v>
      </c>
      <c r="F310" s="14" t="s">
        <v>147</v>
      </c>
      <c r="G310" s="14" t="s">
        <v>39</v>
      </c>
      <c r="H310" s="14"/>
      <c r="I310" s="14" t="s">
        <v>368</v>
      </c>
      <c r="J310" s="14">
        <v>1167.6400000000001</v>
      </c>
      <c r="K310" s="13">
        <v>0</v>
      </c>
      <c r="L310" s="13">
        <v>5814.85</v>
      </c>
      <c r="M310" s="13">
        <v>0</v>
      </c>
      <c r="N310" s="13">
        <v>0</v>
      </c>
      <c r="O310" s="76">
        <v>5814.85</v>
      </c>
      <c r="P310" s="81" t="s">
        <v>272</v>
      </c>
      <c r="Q310" s="123">
        <v>295</v>
      </c>
      <c r="R310" s="13"/>
      <c r="S310" s="13"/>
      <c r="T310" s="13">
        <f>LISTA[[#This Row],[VALOR FINAL]]+LISTA[[#This Row],[TARIFA IN]]+LISTA[[#This Row],[TARIFA OUT ]]</f>
        <v>5814.85</v>
      </c>
    </row>
    <row r="311" spans="1:20" x14ac:dyDescent="0.2">
      <c r="A311" s="13" t="s">
        <v>14</v>
      </c>
      <c r="B311" s="203">
        <v>44883</v>
      </c>
      <c r="C311" s="202" t="s">
        <v>42</v>
      </c>
      <c r="D311" s="14" t="s">
        <v>606</v>
      </c>
      <c r="E311" s="14" t="s">
        <v>367</v>
      </c>
      <c r="F311" s="14" t="s">
        <v>147</v>
      </c>
      <c r="G311" s="14" t="s">
        <v>39</v>
      </c>
      <c r="H311" s="14"/>
      <c r="I311" s="14" t="s">
        <v>368</v>
      </c>
      <c r="J311" s="14">
        <v>5099.8900000000003</v>
      </c>
      <c r="K311" s="13">
        <v>0</v>
      </c>
      <c r="L311" s="13">
        <v>16472.64</v>
      </c>
      <c r="M311" s="13">
        <v>0</v>
      </c>
      <c r="N311" s="13">
        <v>0</v>
      </c>
      <c r="O311" s="76">
        <v>16472.64</v>
      </c>
      <c r="P311" s="81" t="s">
        <v>272</v>
      </c>
      <c r="Q311" s="123">
        <v>296</v>
      </c>
      <c r="R311" s="13"/>
      <c r="S311" s="13"/>
      <c r="T311" s="13">
        <f>LISTA[[#This Row],[VALOR FINAL]]+LISTA[[#This Row],[TARIFA IN]]+LISTA[[#This Row],[TARIFA OUT ]]</f>
        <v>16472.64</v>
      </c>
    </row>
    <row r="312" spans="1:20" x14ac:dyDescent="0.2">
      <c r="A312" s="13" t="s">
        <v>14</v>
      </c>
      <c r="B312" s="203">
        <v>44883</v>
      </c>
      <c r="C312" s="202" t="s">
        <v>148</v>
      </c>
      <c r="D312" s="14" t="s">
        <v>621</v>
      </c>
      <c r="E312" s="14" t="s">
        <v>346</v>
      </c>
      <c r="F312" s="14" t="s">
        <v>123</v>
      </c>
      <c r="G312" s="14" t="s">
        <v>39</v>
      </c>
      <c r="H312" s="14"/>
      <c r="I312" s="14" t="s">
        <v>376</v>
      </c>
      <c r="J312" s="14">
        <v>2764.4</v>
      </c>
      <c r="K312" s="13">
        <v>0</v>
      </c>
      <c r="L312" s="13">
        <v>14015.51</v>
      </c>
      <c r="M312" s="13"/>
      <c r="N312" s="13">
        <v>0</v>
      </c>
      <c r="O312" s="76">
        <v>14015.51</v>
      </c>
      <c r="P312" s="81" t="s">
        <v>272</v>
      </c>
      <c r="Q312" s="123">
        <v>305</v>
      </c>
      <c r="R312" s="13"/>
      <c r="S312" s="13"/>
      <c r="T312" s="13">
        <f>LISTA[[#This Row],[VALOR FINAL]]+LISTA[[#This Row],[TARIFA IN]]+LISTA[[#This Row],[TARIFA OUT ]]</f>
        <v>14015.51</v>
      </c>
    </row>
    <row r="313" spans="1:20" x14ac:dyDescent="0.2">
      <c r="A313" s="13" t="s">
        <v>14</v>
      </c>
      <c r="B313" s="190">
        <v>44888</v>
      </c>
      <c r="C313" s="202" t="s">
        <v>148</v>
      </c>
      <c r="D313" s="14" t="s">
        <v>718</v>
      </c>
      <c r="E313" s="14" t="s">
        <v>180</v>
      </c>
      <c r="F313" s="14" t="s">
        <v>181</v>
      </c>
      <c r="G313" s="14" t="s">
        <v>39</v>
      </c>
      <c r="H313" s="14"/>
      <c r="I313" s="14" t="s">
        <v>182</v>
      </c>
      <c r="J313" s="14">
        <v>1842.63</v>
      </c>
      <c r="K313" s="13">
        <v>0</v>
      </c>
      <c r="L313" s="13">
        <v>9176.2999999999993</v>
      </c>
      <c r="M313" s="13">
        <v>0</v>
      </c>
      <c r="N313" s="13">
        <v>0</v>
      </c>
      <c r="O313" s="76">
        <v>9176.2999999999993</v>
      </c>
      <c r="P313" s="81" t="s">
        <v>272</v>
      </c>
      <c r="Q313" s="123">
        <v>444</v>
      </c>
      <c r="R313" s="123"/>
      <c r="S313" s="123"/>
      <c r="T313" s="13">
        <f>LISTA[[#This Row],[TARIFA OUT ]]+LISTA[[#This Row],[TARIFA IN]]+LISTA[[#This Row],[VALOR FINAL]]</f>
        <v>9176.2999999999993</v>
      </c>
    </row>
    <row r="314" spans="1:20" x14ac:dyDescent="0.2">
      <c r="A314" s="13" t="s">
        <v>14</v>
      </c>
      <c r="B314" s="203">
        <v>44883</v>
      </c>
      <c r="C314" s="202" t="s">
        <v>42</v>
      </c>
      <c r="D314" s="14" t="s">
        <v>607</v>
      </c>
      <c r="E314" s="14" t="s">
        <v>608</v>
      </c>
      <c r="F314" s="14" t="s">
        <v>609</v>
      </c>
      <c r="G314" s="14" t="s">
        <v>39</v>
      </c>
      <c r="H314" s="14"/>
      <c r="I314" s="14" t="s">
        <v>514</v>
      </c>
      <c r="J314" s="14">
        <v>4982.42</v>
      </c>
      <c r="K314" s="13">
        <v>0</v>
      </c>
      <c r="L314" s="13">
        <v>16093.22</v>
      </c>
      <c r="M314" s="13">
        <v>0</v>
      </c>
      <c r="N314" s="13">
        <v>0</v>
      </c>
      <c r="O314" s="76">
        <v>16093.22</v>
      </c>
      <c r="P314" s="81" t="s">
        <v>272</v>
      </c>
      <c r="Q314" s="123">
        <v>297</v>
      </c>
      <c r="R314" s="13"/>
      <c r="S314" s="13"/>
      <c r="T314" s="13">
        <f>LISTA[[#This Row],[VALOR FINAL]]+LISTA[[#This Row],[TARIFA IN]]+LISTA[[#This Row],[TARIFA OUT ]]</f>
        <v>16093.22</v>
      </c>
    </row>
    <row r="315" spans="1:20" x14ac:dyDescent="0.2">
      <c r="A315" s="13" t="s">
        <v>14</v>
      </c>
      <c r="B315" s="203">
        <v>44883</v>
      </c>
      <c r="C315" s="202" t="s">
        <v>42</v>
      </c>
      <c r="D315" s="14" t="s">
        <v>610</v>
      </c>
      <c r="E315" s="14" t="s">
        <v>608</v>
      </c>
      <c r="F315" s="14" t="s">
        <v>609</v>
      </c>
      <c r="G315" s="14" t="s">
        <v>39</v>
      </c>
      <c r="H315" s="14"/>
      <c r="I315" s="14" t="s">
        <v>514</v>
      </c>
      <c r="J315" s="14">
        <v>335.95</v>
      </c>
      <c r="K315" s="13">
        <v>0</v>
      </c>
      <c r="L315" s="13">
        <v>1686.47</v>
      </c>
      <c r="M315" s="13">
        <v>0</v>
      </c>
      <c r="N315" s="13">
        <v>0</v>
      </c>
      <c r="O315" s="76">
        <v>1686.47</v>
      </c>
      <c r="P315" s="81" t="s">
        <v>272</v>
      </c>
      <c r="Q315" s="123">
        <v>298</v>
      </c>
      <c r="R315" s="13"/>
      <c r="S315" s="13"/>
      <c r="T315" s="13">
        <f>LISTA[[#This Row],[VALOR FINAL]]+LISTA[[#This Row],[TARIFA IN]]+LISTA[[#This Row],[TARIFA OUT ]]</f>
        <v>1686.47</v>
      </c>
    </row>
    <row r="316" spans="1:20" x14ac:dyDescent="0.2">
      <c r="A316" s="13" t="s">
        <v>14</v>
      </c>
      <c r="B316" s="203">
        <v>44883</v>
      </c>
      <c r="C316" s="202" t="s">
        <v>148</v>
      </c>
      <c r="D316" s="14" t="s">
        <v>622</v>
      </c>
      <c r="E316" s="14" t="s">
        <v>623</v>
      </c>
      <c r="F316" s="14" t="s">
        <v>624</v>
      </c>
      <c r="G316" s="14" t="s">
        <v>97</v>
      </c>
      <c r="H316" s="14"/>
      <c r="I316" s="14" t="s">
        <v>625</v>
      </c>
      <c r="J316" s="14">
        <v>890.88</v>
      </c>
      <c r="K316" s="13">
        <v>0</v>
      </c>
      <c r="L316" s="13">
        <v>4472.22</v>
      </c>
      <c r="M316" s="13">
        <v>17363.25</v>
      </c>
      <c r="N316" s="13">
        <v>0</v>
      </c>
      <c r="O316" s="76">
        <v>21835.47</v>
      </c>
      <c r="P316" s="81" t="s">
        <v>272</v>
      </c>
      <c r="Q316" s="123">
        <v>306</v>
      </c>
      <c r="R316" s="13"/>
      <c r="S316" s="13"/>
      <c r="T316" s="13">
        <f>LISTA[[#This Row],[VALOR FINAL]]+LISTA[[#This Row],[TARIFA IN]]+LISTA[[#This Row],[TARIFA OUT ]]</f>
        <v>21835.47</v>
      </c>
    </row>
    <row r="317" spans="1:20" x14ac:dyDescent="0.2">
      <c r="A317" s="13" t="s">
        <v>14</v>
      </c>
      <c r="B317" s="203">
        <v>44883</v>
      </c>
      <c r="C317" s="202" t="s">
        <v>42</v>
      </c>
      <c r="D317" s="14" t="s">
        <v>611</v>
      </c>
      <c r="E317" s="14" t="s">
        <v>612</v>
      </c>
      <c r="F317" s="14" t="s">
        <v>210</v>
      </c>
      <c r="G317" s="14" t="s">
        <v>97</v>
      </c>
      <c r="H317" s="14"/>
      <c r="I317" s="14" t="s">
        <v>613</v>
      </c>
      <c r="J317" s="14">
        <v>1855</v>
      </c>
      <c r="K317" s="13">
        <v>0</v>
      </c>
      <c r="L317" s="13">
        <v>9237.9</v>
      </c>
      <c r="M317" s="13">
        <v>38472.699999999997</v>
      </c>
      <c r="N317" s="13">
        <v>0</v>
      </c>
      <c r="O317" s="76">
        <v>47710.6</v>
      </c>
      <c r="P317" s="81" t="s">
        <v>272</v>
      </c>
      <c r="Q317" s="123">
        <v>299</v>
      </c>
      <c r="R317" s="13"/>
      <c r="S317" s="13"/>
      <c r="T317" s="13">
        <f>LISTA[[#This Row],[VALOR FINAL]]+LISTA[[#This Row],[TARIFA IN]]+LISTA[[#This Row],[TARIFA OUT ]]</f>
        <v>47710.6</v>
      </c>
    </row>
    <row r="318" spans="1:20" x14ac:dyDescent="0.2">
      <c r="A318" s="13" t="s">
        <v>14</v>
      </c>
      <c r="B318" s="203">
        <v>44883</v>
      </c>
      <c r="C318" s="202" t="s">
        <v>42</v>
      </c>
      <c r="D318" s="14" t="s">
        <v>614</v>
      </c>
      <c r="E318" s="14" t="s">
        <v>612</v>
      </c>
      <c r="F318" s="14" t="s">
        <v>210</v>
      </c>
      <c r="G318" s="14" t="s">
        <v>97</v>
      </c>
      <c r="H318" s="14"/>
      <c r="I318" s="14" t="s">
        <v>549</v>
      </c>
      <c r="J318" s="14">
        <v>890.88</v>
      </c>
      <c r="K318" s="13">
        <v>0</v>
      </c>
      <c r="L318" s="13">
        <v>4472.22</v>
      </c>
      <c r="M318" s="13">
        <v>16490.189999999999</v>
      </c>
      <c r="N318" s="13">
        <v>0</v>
      </c>
      <c r="O318" s="76">
        <v>20962.41</v>
      </c>
      <c r="P318" s="81" t="s">
        <v>272</v>
      </c>
      <c r="Q318" s="123">
        <v>300</v>
      </c>
      <c r="R318" s="13"/>
      <c r="S318" s="13"/>
      <c r="T318" s="13">
        <f>LISTA[[#This Row],[VALOR FINAL]]+LISTA[[#This Row],[TARIFA IN]]+LISTA[[#This Row],[TARIFA OUT ]]</f>
        <v>20962.41</v>
      </c>
    </row>
    <row r="319" spans="1:20" x14ac:dyDescent="0.2">
      <c r="A319" s="13" t="s">
        <v>14</v>
      </c>
      <c r="B319" s="203">
        <v>44887</v>
      </c>
      <c r="C319" s="202" t="s">
        <v>91</v>
      </c>
      <c r="D319" s="14" t="s">
        <v>634</v>
      </c>
      <c r="E319" s="14" t="s">
        <v>635</v>
      </c>
      <c r="F319" s="14" t="s">
        <v>123</v>
      </c>
      <c r="G319" s="14" t="s">
        <v>39</v>
      </c>
      <c r="H319" s="14"/>
      <c r="I319" s="14" t="s">
        <v>636</v>
      </c>
      <c r="J319" s="14">
        <v>378</v>
      </c>
      <c r="K319" s="13">
        <v>0</v>
      </c>
      <c r="L319" s="13">
        <f>LISTA[[#This Row],[KILOS]]*5.09</f>
        <v>1924.02</v>
      </c>
      <c r="M319" s="13"/>
      <c r="N319" s="13">
        <v>0</v>
      </c>
      <c r="O319" s="13">
        <f>LISTA[[#This Row],[KILOS]]*5.09</f>
        <v>1924.02</v>
      </c>
      <c r="P319" s="81" t="s">
        <v>272</v>
      </c>
      <c r="Q319" s="123">
        <v>316</v>
      </c>
      <c r="R319" s="13"/>
      <c r="S319" s="13"/>
      <c r="T319" s="13"/>
    </row>
    <row r="320" spans="1:20" x14ac:dyDescent="0.2">
      <c r="A320" s="13" t="s">
        <v>14</v>
      </c>
      <c r="B320" s="203">
        <v>44883</v>
      </c>
      <c r="C320" s="202" t="s">
        <v>42</v>
      </c>
      <c r="D320" s="14" t="s">
        <v>615</v>
      </c>
      <c r="E320" s="14" t="s">
        <v>616</v>
      </c>
      <c r="F320" s="14" t="s">
        <v>210</v>
      </c>
      <c r="G320" s="14" t="s">
        <v>97</v>
      </c>
      <c r="H320" s="14"/>
      <c r="I320" s="14" t="s">
        <v>617</v>
      </c>
      <c r="J320" s="14">
        <v>3674.74</v>
      </c>
      <c r="K320" s="13">
        <v>0</v>
      </c>
      <c r="L320" s="13">
        <v>18300.21</v>
      </c>
      <c r="M320" s="13">
        <v>76875.56</v>
      </c>
      <c r="N320" s="13">
        <v>0</v>
      </c>
      <c r="O320" s="13">
        <v>95175.77</v>
      </c>
      <c r="P320" s="81" t="s">
        <v>272</v>
      </c>
      <c r="Q320" s="123">
        <v>301</v>
      </c>
      <c r="R320" s="13"/>
      <c r="S320" s="13"/>
      <c r="T320" s="13">
        <f>LISTA[[#This Row],[VALOR FINAL]]+LISTA[[#This Row],[TARIFA IN]]+LISTA[[#This Row],[TARIFA OUT ]]</f>
        <v>95175.77</v>
      </c>
    </row>
    <row r="321" spans="1:20" x14ac:dyDescent="0.2">
      <c r="A321" s="13" t="s">
        <v>14</v>
      </c>
      <c r="B321" s="203">
        <v>44883</v>
      </c>
      <c r="C321" s="202" t="s">
        <v>148</v>
      </c>
      <c r="D321" s="14" t="s">
        <v>626</v>
      </c>
      <c r="E321" s="14" t="s">
        <v>137</v>
      </c>
      <c r="F321" s="14" t="s">
        <v>173</v>
      </c>
      <c r="G321" s="14" t="s">
        <v>97</v>
      </c>
      <c r="H321" s="14"/>
      <c r="I321" s="14" t="s">
        <v>163</v>
      </c>
      <c r="J321" s="14">
        <v>1220.67</v>
      </c>
      <c r="K321" s="13">
        <v>0</v>
      </c>
      <c r="L321" s="13">
        <v>6078.94</v>
      </c>
      <c r="M321" s="13">
        <v>18285.64</v>
      </c>
      <c r="N321" s="13">
        <v>0</v>
      </c>
      <c r="O321" s="76">
        <v>24364.57</v>
      </c>
      <c r="P321" s="81" t="s">
        <v>272</v>
      </c>
      <c r="Q321" s="123">
        <v>307</v>
      </c>
      <c r="R321" s="13"/>
      <c r="S321" s="13"/>
      <c r="T321" s="13">
        <f>LISTA[[#This Row],[VALOR FINAL]]+LISTA[[#This Row],[TARIFA IN]]+LISTA[[#This Row],[TARIFA OUT ]]</f>
        <v>24364.57</v>
      </c>
    </row>
    <row r="322" spans="1:20" x14ac:dyDescent="0.2">
      <c r="A322" s="13" t="s">
        <v>14</v>
      </c>
      <c r="B322" s="203">
        <v>44883</v>
      </c>
      <c r="C322" s="202" t="s">
        <v>148</v>
      </c>
      <c r="D322" s="14" t="s">
        <v>627</v>
      </c>
      <c r="E322" s="14" t="s">
        <v>194</v>
      </c>
      <c r="F322" s="14" t="s">
        <v>417</v>
      </c>
      <c r="G322" s="14" t="s">
        <v>97</v>
      </c>
      <c r="H322" s="14"/>
      <c r="I322" s="14" t="s">
        <v>195</v>
      </c>
      <c r="J322" s="14">
        <v>198</v>
      </c>
      <c r="K322" s="13">
        <v>0</v>
      </c>
      <c r="L322" s="13">
        <v>1021.38</v>
      </c>
      <c r="M322" s="13">
        <v>3419.46</v>
      </c>
      <c r="N322" s="13">
        <v>0</v>
      </c>
      <c r="O322" s="76">
        <v>4440.84</v>
      </c>
      <c r="P322" s="81" t="s">
        <v>272</v>
      </c>
      <c r="Q322" s="123">
        <v>308</v>
      </c>
      <c r="R322" s="13"/>
      <c r="S322" s="13"/>
      <c r="T322" s="13">
        <f>LISTA[[#This Row],[TARIFA OUT ]]+LISTA[[#This Row],[TARIFA IN]]+LISTA[[#This Row],[VALOR FINAL]]</f>
        <v>4440.84</v>
      </c>
    </row>
    <row r="323" spans="1:20" x14ac:dyDescent="0.2">
      <c r="A323" s="13" t="s">
        <v>14</v>
      </c>
      <c r="B323" s="203">
        <v>44887</v>
      </c>
      <c r="C323" s="202" t="s">
        <v>77</v>
      </c>
      <c r="D323" s="14" t="s">
        <v>628</v>
      </c>
      <c r="E323" s="14" t="s">
        <v>560</v>
      </c>
      <c r="F323" s="14" t="s">
        <v>561</v>
      </c>
      <c r="G323" s="14" t="s">
        <v>39</v>
      </c>
      <c r="H323" s="14"/>
      <c r="I323" s="14" t="s">
        <v>562</v>
      </c>
      <c r="J323" s="14">
        <v>22.73</v>
      </c>
      <c r="K323" s="13">
        <v>0</v>
      </c>
      <c r="L323" s="13">
        <v>1021.38</v>
      </c>
      <c r="M323" s="13">
        <v>0</v>
      </c>
      <c r="N323" s="13">
        <v>0</v>
      </c>
      <c r="O323" s="13">
        <v>1021.38</v>
      </c>
      <c r="P323" s="81" t="s">
        <v>272</v>
      </c>
      <c r="Q323" s="123">
        <v>310</v>
      </c>
      <c r="R323" s="13"/>
      <c r="S323" s="13"/>
      <c r="T323" s="13">
        <f>LISTA[[#This Row],[TARIFA OUT ]]+LISTA[[#This Row],[TARIFA IN]]+LISTA[[#This Row],[VALOR FINAL]]</f>
        <v>1021.38</v>
      </c>
    </row>
    <row r="324" spans="1:20" x14ac:dyDescent="0.2">
      <c r="A324" s="13" t="s">
        <v>14</v>
      </c>
      <c r="B324" s="203">
        <v>44887</v>
      </c>
      <c r="C324" s="202" t="s">
        <v>41</v>
      </c>
      <c r="D324" s="14" t="s">
        <v>654</v>
      </c>
      <c r="E324" s="14" t="s">
        <v>180</v>
      </c>
      <c r="F324" s="14" t="s">
        <v>181</v>
      </c>
      <c r="G324" s="14" t="s">
        <v>39</v>
      </c>
      <c r="H324" s="14"/>
      <c r="I324" s="14" t="s">
        <v>182</v>
      </c>
      <c r="J324" s="14">
        <v>113.64</v>
      </c>
      <c r="K324" s="13">
        <v>0</v>
      </c>
      <c r="L324" s="13">
        <v>1021.38</v>
      </c>
      <c r="M324" s="13">
        <v>0</v>
      </c>
      <c r="N324" s="13">
        <v>0</v>
      </c>
      <c r="O324" s="76">
        <v>1021.38</v>
      </c>
      <c r="P324" s="81" t="s">
        <v>272</v>
      </c>
      <c r="Q324" s="123">
        <v>328</v>
      </c>
      <c r="R324" s="13"/>
      <c r="S324" s="13"/>
      <c r="T324" s="13">
        <f>LISTA[[#This Row],[TARIFA OUT ]]+LISTA[[#This Row],[TARIFA IN]]+LISTA[[#This Row],[VALOR FINAL]]</f>
        <v>1021.38</v>
      </c>
    </row>
    <row r="325" spans="1:20" x14ac:dyDescent="0.2">
      <c r="A325" s="13" t="s">
        <v>14</v>
      </c>
      <c r="B325" s="203">
        <v>44887</v>
      </c>
      <c r="C325" s="202" t="s">
        <v>77</v>
      </c>
      <c r="D325" s="14" t="s">
        <v>629</v>
      </c>
      <c r="E325" s="14" t="s">
        <v>560</v>
      </c>
      <c r="F325" s="14" t="s">
        <v>561</v>
      </c>
      <c r="G325" s="14" t="s">
        <v>39</v>
      </c>
      <c r="H325" s="14"/>
      <c r="I325" s="14" t="s">
        <v>562</v>
      </c>
      <c r="J325" s="14">
        <v>2635.38</v>
      </c>
      <c r="K325" s="13">
        <v>0</v>
      </c>
      <c r="L325" s="13">
        <v>13124.19</v>
      </c>
      <c r="M325" s="13">
        <v>0</v>
      </c>
      <c r="N325" s="13">
        <v>0</v>
      </c>
      <c r="O325" s="76">
        <v>13124.19</v>
      </c>
      <c r="P325" s="81" t="s">
        <v>272</v>
      </c>
      <c r="Q325" s="123">
        <v>311</v>
      </c>
      <c r="R325" s="13"/>
      <c r="S325" s="13"/>
      <c r="T325" s="13">
        <f>LISTA[[#This Row],[TARIFA OUT ]]+LISTA[[#This Row],[TARIFA IN]]+LISTA[[#This Row],[VALOR FINAL]]</f>
        <v>13124.19</v>
      </c>
    </row>
    <row r="326" spans="1:20" x14ac:dyDescent="0.2">
      <c r="A326" s="13" t="s">
        <v>14</v>
      </c>
      <c r="B326" s="203">
        <v>44887</v>
      </c>
      <c r="C326" s="202" t="s">
        <v>77</v>
      </c>
      <c r="D326" s="14" t="s">
        <v>630</v>
      </c>
      <c r="E326" s="14" t="s">
        <v>560</v>
      </c>
      <c r="F326" s="14" t="s">
        <v>561</v>
      </c>
      <c r="G326" s="14" t="s">
        <v>39</v>
      </c>
      <c r="H326" s="14"/>
      <c r="I326" s="14" t="s">
        <v>562</v>
      </c>
      <c r="J326" s="14">
        <v>7571.4</v>
      </c>
      <c r="K326" s="13">
        <v>0</v>
      </c>
      <c r="L326" s="13">
        <v>24455.62</v>
      </c>
      <c r="M326" s="13">
        <v>0</v>
      </c>
      <c r="N326" s="13">
        <v>0</v>
      </c>
      <c r="O326" s="76">
        <v>24455.62</v>
      </c>
      <c r="P326" s="81" t="s">
        <v>272</v>
      </c>
      <c r="Q326" s="123">
        <v>312</v>
      </c>
      <c r="R326" s="13"/>
      <c r="S326" s="13"/>
      <c r="T326" s="13">
        <f>LISTA[[#This Row],[TARIFA OUT ]]+LISTA[[#This Row],[TARIFA IN]]+LISTA[[#This Row],[VALOR FINAL]]</f>
        <v>24455.62</v>
      </c>
    </row>
    <row r="327" spans="1:20" x14ac:dyDescent="0.2">
      <c r="A327" s="13" t="s">
        <v>14</v>
      </c>
      <c r="B327" s="190">
        <v>44888</v>
      </c>
      <c r="C327" s="202" t="s">
        <v>41</v>
      </c>
      <c r="D327" s="14" t="s">
        <v>698</v>
      </c>
      <c r="E327" s="14" t="s">
        <v>469</v>
      </c>
      <c r="F327" s="14" t="s">
        <v>470</v>
      </c>
      <c r="G327" s="14" t="s">
        <v>39</v>
      </c>
      <c r="H327" s="14"/>
      <c r="I327" s="14" t="s">
        <v>471</v>
      </c>
      <c r="J327" s="14">
        <v>4164.53</v>
      </c>
      <c r="K327" s="13">
        <v>0</v>
      </c>
      <c r="L327" s="13">
        <v>13451.43</v>
      </c>
      <c r="M327" s="13">
        <v>0</v>
      </c>
      <c r="N327" s="13">
        <v>0</v>
      </c>
      <c r="O327" s="76">
        <v>13451.43</v>
      </c>
      <c r="P327" s="81" t="s">
        <v>272</v>
      </c>
      <c r="Q327" s="123">
        <v>429</v>
      </c>
      <c r="R327" s="123"/>
      <c r="S327" s="123"/>
      <c r="T327" s="13">
        <f>LISTA[[#This Row],[TARIFA OUT ]]+LISTA[[#This Row],[TARIFA IN]]+LISTA[[#This Row],[VALOR FINAL]]</f>
        <v>13451.43</v>
      </c>
    </row>
    <row r="328" spans="1:20" x14ac:dyDescent="0.2">
      <c r="A328" s="13" t="s">
        <v>14</v>
      </c>
      <c r="B328" s="203">
        <v>44887</v>
      </c>
      <c r="C328" s="202" t="s">
        <v>89</v>
      </c>
      <c r="D328" s="14" t="s">
        <v>645</v>
      </c>
      <c r="E328" s="14" t="s">
        <v>346</v>
      </c>
      <c r="F328" s="14" t="s">
        <v>123</v>
      </c>
      <c r="G328" s="14" t="s">
        <v>39</v>
      </c>
      <c r="H328" s="14"/>
      <c r="I328" s="14" t="s">
        <v>376</v>
      </c>
      <c r="J328" s="14">
        <v>7106.94</v>
      </c>
      <c r="K328" s="13">
        <v>0</v>
      </c>
      <c r="L328" s="13">
        <f>+LISTA[[#This Row],[KILOS]]*3.29</f>
        <v>23381.832599999998</v>
      </c>
      <c r="M328" s="13"/>
      <c r="N328" s="13">
        <v>0</v>
      </c>
      <c r="O328" s="76">
        <f>+LISTA[[#This Row],[KILOS]]*3.29</f>
        <v>23381.832599999998</v>
      </c>
      <c r="P328" s="81" t="s">
        <v>272</v>
      </c>
      <c r="Q328" s="123">
        <v>320</v>
      </c>
      <c r="R328" s="13"/>
      <c r="S328" s="13"/>
      <c r="T328" s="13">
        <f>LISTA[[#This Row],[TARIFA OUT ]]+LISTA[[#This Row],[TARIFA IN]]+LISTA[[#This Row],[VALOR FINAL]]</f>
        <v>23381.832599999998</v>
      </c>
    </row>
    <row r="329" spans="1:20" x14ac:dyDescent="0.2">
      <c r="A329" s="13" t="s">
        <v>14</v>
      </c>
      <c r="B329" s="190">
        <v>44889</v>
      </c>
      <c r="C329" s="202" t="s">
        <v>89</v>
      </c>
      <c r="D329" s="14" t="s">
        <v>769</v>
      </c>
      <c r="E329" s="14" t="s">
        <v>449</v>
      </c>
      <c r="F329" s="14" t="s">
        <v>770</v>
      </c>
      <c r="G329" s="14" t="s">
        <v>39</v>
      </c>
      <c r="H329" s="14"/>
      <c r="I329" s="14" t="s">
        <v>451</v>
      </c>
      <c r="J329" s="14">
        <v>3486.29</v>
      </c>
      <c r="K329" s="13">
        <v>0</v>
      </c>
      <c r="L329" s="13">
        <v>17361.72</v>
      </c>
      <c r="M329" s="13">
        <v>0</v>
      </c>
      <c r="N329" s="13">
        <v>0</v>
      </c>
      <c r="O329" s="76">
        <v>17361.72</v>
      </c>
      <c r="P329" s="81" t="s">
        <v>272</v>
      </c>
      <c r="Q329" s="123">
        <v>474</v>
      </c>
      <c r="R329" s="123"/>
      <c r="S329" s="123"/>
      <c r="T329" s="13">
        <f>LISTA[[#This Row],[TARIFA OUT ]]+LISTA[[#This Row],[TARIFA IN]]+LISTA[[#This Row],[VALOR FINAL]]</f>
        <v>17361.72</v>
      </c>
    </row>
    <row r="330" spans="1:20" x14ac:dyDescent="0.2">
      <c r="A330" s="13" t="s">
        <v>14</v>
      </c>
      <c r="B330" s="190">
        <v>44888</v>
      </c>
      <c r="C330" s="202" t="s">
        <v>41</v>
      </c>
      <c r="D330" s="14" t="s">
        <v>700</v>
      </c>
      <c r="E330" s="14" t="s">
        <v>438</v>
      </c>
      <c r="F330" s="14" t="s">
        <v>123</v>
      </c>
      <c r="G330" s="14" t="s">
        <v>39</v>
      </c>
      <c r="H330" s="14"/>
      <c r="I330" s="14" t="s">
        <v>441</v>
      </c>
      <c r="J330" s="14">
        <v>3875.34</v>
      </c>
      <c r="K330" s="13">
        <v>0</v>
      </c>
      <c r="L330" s="13">
        <v>19725.48</v>
      </c>
      <c r="M330" s="13">
        <v>0</v>
      </c>
      <c r="N330" s="13">
        <v>0</v>
      </c>
      <c r="O330" s="76">
        <v>19725.48</v>
      </c>
      <c r="P330" s="81" t="s">
        <v>272</v>
      </c>
      <c r="Q330" s="123">
        <v>431</v>
      </c>
      <c r="R330" s="123"/>
      <c r="S330" s="123"/>
      <c r="T330" s="13">
        <f>LISTA[[#This Row],[TARIFA OUT ]]+LISTA[[#This Row],[TARIFA IN]]+LISTA[[#This Row],[VALOR FINAL]]</f>
        <v>19725.48</v>
      </c>
    </row>
    <row r="331" spans="1:20" x14ac:dyDescent="0.2">
      <c r="A331" s="13" t="s">
        <v>14</v>
      </c>
      <c r="B331" s="203">
        <v>44887</v>
      </c>
      <c r="C331" s="202" t="s">
        <v>88</v>
      </c>
      <c r="D331" s="14" t="s">
        <v>651</v>
      </c>
      <c r="E331" s="14" t="s">
        <v>438</v>
      </c>
      <c r="F331" s="14" t="s">
        <v>123</v>
      </c>
      <c r="G331" s="14" t="s">
        <v>39</v>
      </c>
      <c r="H331" s="14"/>
      <c r="I331" s="14" t="s">
        <v>441</v>
      </c>
      <c r="J331" s="14">
        <v>2383.3200000000002</v>
      </c>
      <c r="K331" s="13">
        <v>0</v>
      </c>
      <c r="L331" s="13">
        <v>12131.1</v>
      </c>
      <c r="M331" s="13">
        <v>0</v>
      </c>
      <c r="N331" s="13">
        <v>0</v>
      </c>
      <c r="O331" s="76">
        <v>12131.1</v>
      </c>
      <c r="P331" s="81" t="s">
        <v>272</v>
      </c>
      <c r="Q331" s="123">
        <v>325</v>
      </c>
      <c r="R331" s="13"/>
      <c r="S331" s="13"/>
      <c r="T331" s="13">
        <f>LISTA[[#This Row],[TARIFA OUT ]]+LISTA[[#This Row],[TARIFA IN]]+LISTA[[#This Row],[VALOR FINAL]]</f>
        <v>12131.1</v>
      </c>
    </row>
    <row r="332" spans="1:20" x14ac:dyDescent="0.2">
      <c r="A332" s="13" t="s">
        <v>14</v>
      </c>
      <c r="B332" s="190">
        <v>44888</v>
      </c>
      <c r="C332" s="202" t="s">
        <v>40</v>
      </c>
      <c r="D332" s="14" t="s">
        <v>728</v>
      </c>
      <c r="E332" s="14" t="s">
        <v>474</v>
      </c>
      <c r="F332" s="14" t="s">
        <v>475</v>
      </c>
      <c r="G332" s="14" t="s">
        <v>39</v>
      </c>
      <c r="H332" s="14"/>
      <c r="I332" s="14" t="s">
        <v>476</v>
      </c>
      <c r="J332" s="14">
        <v>2767.72</v>
      </c>
      <c r="K332" s="13">
        <v>0</v>
      </c>
      <c r="L332" s="13">
        <v>13783.25</v>
      </c>
      <c r="M332" s="13">
        <v>0</v>
      </c>
      <c r="N332" s="13">
        <v>0</v>
      </c>
      <c r="O332" s="76">
        <v>13783.25</v>
      </c>
      <c r="P332" s="81" t="s">
        <v>272</v>
      </c>
      <c r="Q332" s="123">
        <v>452</v>
      </c>
      <c r="R332" s="123"/>
      <c r="S332" s="123"/>
      <c r="T332" s="13">
        <f>LISTA[[#This Row],[TARIFA OUT ]]+LISTA[[#This Row],[TARIFA IN]]+LISTA[[#This Row],[VALOR FINAL]]</f>
        <v>13783.25</v>
      </c>
    </row>
    <row r="333" spans="1:20" x14ac:dyDescent="0.2">
      <c r="A333" s="13" t="s">
        <v>14</v>
      </c>
      <c r="B333" s="190">
        <v>44888</v>
      </c>
      <c r="C333" s="202" t="s">
        <v>40</v>
      </c>
      <c r="D333" s="14" t="s">
        <v>729</v>
      </c>
      <c r="E333" s="14" t="s">
        <v>474</v>
      </c>
      <c r="F333" s="14" t="s">
        <v>475</v>
      </c>
      <c r="G333" s="14" t="s">
        <v>39</v>
      </c>
      <c r="H333" s="14"/>
      <c r="I333" s="14" t="s">
        <v>476</v>
      </c>
      <c r="J333" s="14">
        <v>3136.1</v>
      </c>
      <c r="K333" s="13">
        <v>0</v>
      </c>
      <c r="L333" s="13">
        <v>15617.78</v>
      </c>
      <c r="M333" s="13">
        <v>0</v>
      </c>
      <c r="N333" s="13">
        <v>0</v>
      </c>
      <c r="O333" s="76">
        <v>15617.78</v>
      </c>
      <c r="P333" s="81" t="s">
        <v>272</v>
      </c>
      <c r="Q333" s="123">
        <v>453</v>
      </c>
      <c r="R333" s="123"/>
      <c r="S333" s="123"/>
      <c r="T333" s="13">
        <f>LISTA[[#This Row],[TARIFA OUT ]]+LISTA[[#This Row],[TARIFA IN]]+LISTA[[#This Row],[VALOR FINAL]]</f>
        <v>15617.78</v>
      </c>
    </row>
    <row r="334" spans="1:20" x14ac:dyDescent="0.2">
      <c r="A334" s="13" t="s">
        <v>14</v>
      </c>
      <c r="B334" s="190">
        <v>44888</v>
      </c>
      <c r="C334" s="202" t="s">
        <v>40</v>
      </c>
      <c r="D334" s="14" t="s">
        <v>730</v>
      </c>
      <c r="E334" s="14" t="s">
        <v>474</v>
      </c>
      <c r="F334" s="14" t="s">
        <v>475</v>
      </c>
      <c r="G334" s="14" t="s">
        <v>39</v>
      </c>
      <c r="H334" s="14"/>
      <c r="I334" s="14" t="s">
        <v>476</v>
      </c>
      <c r="J334" s="14">
        <v>2070.21</v>
      </c>
      <c r="K334" s="13">
        <v>0</v>
      </c>
      <c r="L334" s="13">
        <v>10309.65</v>
      </c>
      <c r="M334" s="13">
        <v>0</v>
      </c>
      <c r="N334" s="13">
        <v>0</v>
      </c>
      <c r="O334" s="76">
        <v>10309.65</v>
      </c>
      <c r="P334" s="81" t="s">
        <v>272</v>
      </c>
      <c r="Q334" s="123">
        <v>454</v>
      </c>
      <c r="R334" s="123"/>
      <c r="S334" s="123"/>
      <c r="T334" s="13">
        <f>LISTA[[#This Row],[TARIFA OUT ]]+LISTA[[#This Row],[TARIFA IN]]+LISTA[[#This Row],[VALOR FINAL]]</f>
        <v>10309.65</v>
      </c>
    </row>
    <row r="335" spans="1:20" x14ac:dyDescent="0.2">
      <c r="A335" s="13" t="s">
        <v>14</v>
      </c>
      <c r="B335" s="190">
        <v>44888</v>
      </c>
      <c r="C335" s="202" t="s">
        <v>40</v>
      </c>
      <c r="D335" s="14" t="s">
        <v>731</v>
      </c>
      <c r="E335" s="14" t="s">
        <v>474</v>
      </c>
      <c r="F335" s="14" t="s">
        <v>475</v>
      </c>
      <c r="G335" s="14" t="s">
        <v>39</v>
      </c>
      <c r="H335" s="14"/>
      <c r="I335" s="14" t="s">
        <v>476</v>
      </c>
      <c r="J335" s="14">
        <v>1963.71</v>
      </c>
      <c r="K335" s="13">
        <v>0</v>
      </c>
      <c r="L335" s="13">
        <v>9779.2800000000007</v>
      </c>
      <c r="M335" s="13">
        <v>0</v>
      </c>
      <c r="N335" s="13">
        <v>0</v>
      </c>
      <c r="O335" s="76">
        <v>9779.2800000000007</v>
      </c>
      <c r="P335" s="81" t="s">
        <v>272</v>
      </c>
      <c r="Q335" s="123">
        <v>455</v>
      </c>
      <c r="R335" s="123"/>
      <c r="S335" s="123"/>
      <c r="T335" s="13">
        <f>LISTA[[#This Row],[TARIFA OUT ]]+LISTA[[#This Row],[TARIFA IN]]+LISTA[[#This Row],[VALOR FINAL]]</f>
        <v>9779.2800000000007</v>
      </c>
    </row>
    <row r="336" spans="1:20" x14ac:dyDescent="0.2">
      <c r="A336" s="13" t="s">
        <v>14</v>
      </c>
      <c r="B336" s="190">
        <v>44889</v>
      </c>
      <c r="C336" s="202" t="s">
        <v>148</v>
      </c>
      <c r="D336" s="14" t="s">
        <v>781</v>
      </c>
      <c r="E336" s="14" t="s">
        <v>300</v>
      </c>
      <c r="F336" s="14" t="s">
        <v>301</v>
      </c>
      <c r="G336" s="14" t="s">
        <v>39</v>
      </c>
      <c r="H336" s="14"/>
      <c r="I336" s="14" t="s">
        <v>302</v>
      </c>
      <c r="J336" s="14">
        <v>8562.34</v>
      </c>
      <c r="K336" s="13">
        <v>0</v>
      </c>
      <c r="L336" s="13">
        <v>22604.58</v>
      </c>
      <c r="M336" s="13">
        <v>0</v>
      </c>
      <c r="N336" s="13">
        <v>0</v>
      </c>
      <c r="O336" s="76">
        <v>22604.58</v>
      </c>
      <c r="P336" s="81" t="s">
        <v>272</v>
      </c>
      <c r="Q336" s="123">
        <v>484</v>
      </c>
      <c r="R336" s="123"/>
      <c r="S336" s="123"/>
      <c r="T336" s="13">
        <f>LISTA[[#This Row],[TARIFA OUT ]]+LISTA[[#This Row],[TARIFA IN]]+LISTA[[#This Row],[VALOR FINAL]]</f>
        <v>22604.58</v>
      </c>
    </row>
    <row r="337" spans="1:20" x14ac:dyDescent="0.2">
      <c r="A337" s="13" t="s">
        <v>14</v>
      </c>
      <c r="B337" s="203">
        <v>44887</v>
      </c>
      <c r="C337" s="202" t="s">
        <v>89</v>
      </c>
      <c r="D337" s="14" t="s">
        <v>646</v>
      </c>
      <c r="E337" s="14" t="s">
        <v>323</v>
      </c>
      <c r="F337" s="14" t="s">
        <v>123</v>
      </c>
      <c r="G337" s="14" t="s">
        <v>39</v>
      </c>
      <c r="H337" s="14"/>
      <c r="I337" s="14" t="s">
        <v>647</v>
      </c>
      <c r="J337" s="14">
        <v>2202.8200000000002</v>
      </c>
      <c r="K337" s="13">
        <v>0</v>
      </c>
      <c r="L337" s="13">
        <v>21741.83</v>
      </c>
      <c r="M337" s="13"/>
      <c r="N337" s="13">
        <v>0</v>
      </c>
      <c r="O337" s="76">
        <v>21741.83</v>
      </c>
      <c r="P337" s="81" t="s">
        <v>272</v>
      </c>
      <c r="Q337" s="123">
        <v>321</v>
      </c>
      <c r="R337" s="13"/>
      <c r="S337" s="13"/>
      <c r="T337" s="13">
        <f>LISTA[[#This Row],[TARIFA OUT ]]+LISTA[[#This Row],[TARIFA IN]]+LISTA[[#This Row],[VALOR FINAL]]</f>
        <v>21741.83</v>
      </c>
    </row>
    <row r="338" spans="1:20" x14ac:dyDescent="0.2">
      <c r="A338" s="13" t="s">
        <v>14</v>
      </c>
      <c r="B338" s="203">
        <v>44887</v>
      </c>
      <c r="C338" s="202" t="s">
        <v>41</v>
      </c>
      <c r="D338" s="14" t="s">
        <v>655</v>
      </c>
      <c r="E338" s="14" t="s">
        <v>196</v>
      </c>
      <c r="F338" s="14" t="s">
        <v>197</v>
      </c>
      <c r="G338" s="14" t="s">
        <v>39</v>
      </c>
      <c r="H338" s="14"/>
      <c r="I338" s="14" t="s">
        <v>165</v>
      </c>
      <c r="J338" s="14">
        <v>3031.6</v>
      </c>
      <c r="K338" s="13">
        <v>0</v>
      </c>
      <c r="L338" s="13">
        <v>15097.37</v>
      </c>
      <c r="M338" s="13">
        <v>0</v>
      </c>
      <c r="N338" s="13">
        <v>0</v>
      </c>
      <c r="O338" s="76">
        <v>15097.37</v>
      </c>
      <c r="P338" s="81" t="s">
        <v>272</v>
      </c>
      <c r="Q338" s="123">
        <v>329</v>
      </c>
      <c r="R338" s="13"/>
      <c r="S338" s="13"/>
      <c r="T338" s="13">
        <f>LISTA[[#This Row],[TARIFA OUT ]]+LISTA[[#This Row],[TARIFA IN]]+LISTA[[#This Row],[VALOR FINAL]]</f>
        <v>15097.37</v>
      </c>
    </row>
    <row r="339" spans="1:20" x14ac:dyDescent="0.2">
      <c r="A339" s="201" t="s">
        <v>15</v>
      </c>
      <c r="B339" s="190">
        <v>44867</v>
      </c>
      <c r="C339" s="14" t="s">
        <v>47</v>
      </c>
      <c r="D339" s="14" t="s">
        <v>668</v>
      </c>
      <c r="E339" s="14" t="s">
        <v>284</v>
      </c>
      <c r="F339" s="14" t="s">
        <v>39</v>
      </c>
      <c r="G339" s="14" t="s">
        <v>39</v>
      </c>
      <c r="H339" s="14"/>
      <c r="I339" s="14" t="s">
        <v>45</v>
      </c>
      <c r="J339" s="14">
        <v>20020</v>
      </c>
      <c r="K339" s="13">
        <v>43077.1</v>
      </c>
      <c r="L339" s="13">
        <v>0</v>
      </c>
      <c r="M339" s="13">
        <v>0</v>
      </c>
      <c r="N339" s="13"/>
      <c r="O339" s="76">
        <v>43077.1</v>
      </c>
      <c r="P339" s="81" t="s">
        <v>272</v>
      </c>
      <c r="Q339" s="123">
        <v>339</v>
      </c>
      <c r="R339" s="13"/>
      <c r="S339" s="13"/>
      <c r="T339" s="13">
        <f>LISTA[[#This Row],[TARIFA OUT ]]+LISTA[[#This Row],[TARIFA IN]]+LISTA[[#This Row],[VALOR FINAL]]</f>
        <v>43077.1</v>
      </c>
    </row>
    <row r="340" spans="1:20" x14ac:dyDescent="0.2">
      <c r="A340" s="201" t="s">
        <v>15</v>
      </c>
      <c r="B340" s="190">
        <v>44868</v>
      </c>
      <c r="C340" s="14"/>
      <c r="D340" s="14" t="s">
        <v>668</v>
      </c>
      <c r="E340" s="14" t="s">
        <v>242</v>
      </c>
      <c r="F340" s="14" t="s">
        <v>39</v>
      </c>
      <c r="G340" s="14" t="s">
        <v>39</v>
      </c>
      <c r="H340" s="14"/>
      <c r="I340" s="14" t="s">
        <v>45</v>
      </c>
      <c r="J340" s="14"/>
      <c r="K340" s="13">
        <v>25846.26</v>
      </c>
      <c r="L340" s="13">
        <v>0</v>
      </c>
      <c r="M340" s="13">
        <v>0</v>
      </c>
      <c r="N340" s="13"/>
      <c r="O340" s="76">
        <v>25846.26</v>
      </c>
      <c r="P340" s="81" t="s">
        <v>272</v>
      </c>
      <c r="Q340" s="123">
        <v>340</v>
      </c>
      <c r="R340" s="13"/>
      <c r="S340" s="13"/>
      <c r="T340" s="13">
        <f>LISTA[[#This Row],[TARIFA OUT ]]+LISTA[[#This Row],[TARIFA IN]]+LISTA[[#This Row],[VALOR FINAL]]</f>
        <v>25846.26</v>
      </c>
    </row>
    <row r="341" spans="1:20" x14ac:dyDescent="0.2">
      <c r="A341" s="201" t="s">
        <v>15</v>
      </c>
      <c r="B341" s="190">
        <v>44869</v>
      </c>
      <c r="C341" s="14"/>
      <c r="D341" s="14" t="s">
        <v>668</v>
      </c>
      <c r="E341" s="14" t="s">
        <v>242</v>
      </c>
      <c r="F341" s="14" t="s">
        <v>39</v>
      </c>
      <c r="G341" s="14" t="s">
        <v>39</v>
      </c>
      <c r="H341" s="14"/>
      <c r="I341" s="14" t="s">
        <v>45</v>
      </c>
      <c r="J341" s="14"/>
      <c r="K341" s="13">
        <v>25846.26</v>
      </c>
      <c r="L341" s="13">
        <v>0</v>
      </c>
      <c r="M341" s="13">
        <v>0</v>
      </c>
      <c r="N341" s="13"/>
      <c r="O341" s="76">
        <v>25846.26</v>
      </c>
      <c r="P341" s="81" t="s">
        <v>272</v>
      </c>
      <c r="Q341" s="123">
        <v>341</v>
      </c>
      <c r="R341" s="13"/>
      <c r="S341" s="13"/>
      <c r="T341" s="13">
        <f>LISTA[[#This Row],[TARIFA OUT ]]+LISTA[[#This Row],[TARIFA IN]]+LISTA[[#This Row],[VALOR FINAL]]</f>
        <v>25846.26</v>
      </c>
    </row>
    <row r="342" spans="1:20" x14ac:dyDescent="0.2">
      <c r="A342" s="201" t="s">
        <v>15</v>
      </c>
      <c r="B342" s="190">
        <v>44870</v>
      </c>
      <c r="C342" s="14"/>
      <c r="D342" s="14" t="s">
        <v>668</v>
      </c>
      <c r="E342" s="14" t="s">
        <v>242</v>
      </c>
      <c r="F342" s="14" t="s">
        <v>39</v>
      </c>
      <c r="G342" s="14" t="s">
        <v>39</v>
      </c>
      <c r="H342" s="14"/>
      <c r="I342" s="14" t="s">
        <v>45</v>
      </c>
      <c r="J342" s="14"/>
      <c r="K342" s="13">
        <v>25846.26</v>
      </c>
      <c r="L342" s="13">
        <v>0</v>
      </c>
      <c r="M342" s="13">
        <v>0</v>
      </c>
      <c r="N342" s="13"/>
      <c r="O342" s="76">
        <v>25846.26</v>
      </c>
      <c r="P342" s="81" t="s">
        <v>272</v>
      </c>
      <c r="Q342" s="123">
        <v>342</v>
      </c>
      <c r="R342" s="13"/>
      <c r="S342" s="13"/>
      <c r="T342" s="13">
        <f>LISTA[[#This Row],[TARIFA OUT ]]+LISTA[[#This Row],[TARIFA IN]]+LISTA[[#This Row],[VALOR FINAL]]</f>
        <v>25846.26</v>
      </c>
    </row>
    <row r="343" spans="1:20" x14ac:dyDescent="0.2">
      <c r="A343" s="201" t="s">
        <v>15</v>
      </c>
      <c r="B343" s="190">
        <v>44871</v>
      </c>
      <c r="C343" s="14"/>
      <c r="D343" s="14" t="s">
        <v>668</v>
      </c>
      <c r="E343" s="14" t="s">
        <v>242</v>
      </c>
      <c r="F343" s="14" t="s">
        <v>39</v>
      </c>
      <c r="G343" s="14" t="s">
        <v>39</v>
      </c>
      <c r="H343" s="14"/>
      <c r="I343" s="14" t="s">
        <v>45</v>
      </c>
      <c r="J343" s="14"/>
      <c r="K343" s="13">
        <v>25846.26</v>
      </c>
      <c r="L343" s="13">
        <v>0</v>
      </c>
      <c r="M343" s="13">
        <v>0</v>
      </c>
      <c r="N343" s="13"/>
      <c r="O343" s="76">
        <v>25846.26</v>
      </c>
      <c r="P343" s="81" t="s">
        <v>272</v>
      </c>
      <c r="Q343" s="123">
        <v>343</v>
      </c>
      <c r="R343" s="13"/>
      <c r="S343" s="13"/>
      <c r="T343" s="13">
        <f>LISTA[[#This Row],[TARIFA OUT ]]+LISTA[[#This Row],[TARIFA IN]]+LISTA[[#This Row],[VALOR FINAL]]</f>
        <v>25846.26</v>
      </c>
    </row>
    <row r="344" spans="1:20" x14ac:dyDescent="0.2">
      <c r="A344" s="201" t="s">
        <v>15</v>
      </c>
      <c r="B344" s="190">
        <v>44872</v>
      </c>
      <c r="C344" s="14"/>
      <c r="D344" s="14" t="s">
        <v>668</v>
      </c>
      <c r="E344" s="14" t="s">
        <v>242</v>
      </c>
      <c r="F344" s="14" t="s">
        <v>39</v>
      </c>
      <c r="G344" s="14" t="s">
        <v>39</v>
      </c>
      <c r="H344" s="14"/>
      <c r="I344" s="14" t="s">
        <v>45</v>
      </c>
      <c r="J344" s="14"/>
      <c r="K344" s="13">
        <v>25846.26</v>
      </c>
      <c r="L344" s="13">
        <v>0</v>
      </c>
      <c r="M344" s="13">
        <v>0</v>
      </c>
      <c r="N344" s="13"/>
      <c r="O344" s="76">
        <v>25846.26</v>
      </c>
      <c r="P344" s="81" t="s">
        <v>272</v>
      </c>
      <c r="Q344" s="123">
        <v>344</v>
      </c>
      <c r="R344" s="123"/>
      <c r="S344" s="123"/>
      <c r="T344" s="13">
        <f>LISTA[[#This Row],[TARIFA OUT ]]+LISTA[[#This Row],[TARIFA IN]]+LISTA[[#This Row],[VALOR FINAL]]</f>
        <v>25846.26</v>
      </c>
    </row>
    <row r="345" spans="1:20" x14ac:dyDescent="0.2">
      <c r="A345" s="201" t="s">
        <v>15</v>
      </c>
      <c r="B345" s="190">
        <v>44873</v>
      </c>
      <c r="C345" s="14"/>
      <c r="D345" s="14" t="s">
        <v>668</v>
      </c>
      <c r="E345" s="14" t="s">
        <v>242</v>
      </c>
      <c r="F345" s="14" t="s">
        <v>39</v>
      </c>
      <c r="G345" s="14" t="s">
        <v>39</v>
      </c>
      <c r="H345" s="14"/>
      <c r="I345" s="14" t="s">
        <v>45</v>
      </c>
      <c r="J345" s="14"/>
      <c r="K345" s="13">
        <v>25846.26</v>
      </c>
      <c r="L345" s="13">
        <v>0</v>
      </c>
      <c r="M345" s="13">
        <v>0</v>
      </c>
      <c r="N345" s="13"/>
      <c r="O345" s="76">
        <v>25846.26</v>
      </c>
      <c r="P345" s="81" t="s">
        <v>272</v>
      </c>
      <c r="Q345" s="123">
        <v>345</v>
      </c>
      <c r="R345" s="123"/>
      <c r="S345" s="123"/>
      <c r="T345" s="13">
        <f>LISTA[[#This Row],[TARIFA OUT ]]+LISTA[[#This Row],[TARIFA IN]]+LISTA[[#This Row],[VALOR FINAL]]</f>
        <v>25846.26</v>
      </c>
    </row>
    <row r="346" spans="1:20" x14ac:dyDescent="0.2">
      <c r="A346" s="201" t="s">
        <v>15</v>
      </c>
      <c r="B346" s="190">
        <v>44874</v>
      </c>
      <c r="C346" s="14"/>
      <c r="D346" s="14" t="s">
        <v>668</v>
      </c>
      <c r="E346" s="14" t="s">
        <v>242</v>
      </c>
      <c r="F346" s="14" t="s">
        <v>39</v>
      </c>
      <c r="G346" s="14" t="s">
        <v>39</v>
      </c>
      <c r="H346" s="14"/>
      <c r="I346" s="14" t="s">
        <v>45</v>
      </c>
      <c r="J346" s="14"/>
      <c r="K346" s="13">
        <v>25846.26</v>
      </c>
      <c r="L346" s="13">
        <v>0</v>
      </c>
      <c r="M346" s="13">
        <v>0</v>
      </c>
      <c r="N346" s="13"/>
      <c r="O346" s="76">
        <v>25846.26</v>
      </c>
      <c r="P346" s="81" t="s">
        <v>272</v>
      </c>
      <c r="Q346" s="123">
        <v>346</v>
      </c>
      <c r="R346" s="123"/>
      <c r="S346" s="123"/>
      <c r="T346" s="13">
        <f>LISTA[[#This Row],[TARIFA OUT ]]+LISTA[[#This Row],[TARIFA IN]]+LISTA[[#This Row],[VALOR FINAL]]</f>
        <v>25846.26</v>
      </c>
    </row>
    <row r="347" spans="1:20" x14ac:dyDescent="0.2">
      <c r="A347" s="201" t="s">
        <v>15</v>
      </c>
      <c r="B347" s="190">
        <v>44875</v>
      </c>
      <c r="C347" s="14"/>
      <c r="D347" s="14" t="s">
        <v>668</v>
      </c>
      <c r="E347" s="14" t="s">
        <v>242</v>
      </c>
      <c r="F347" s="14" t="s">
        <v>39</v>
      </c>
      <c r="G347" s="14" t="s">
        <v>39</v>
      </c>
      <c r="H347" s="14"/>
      <c r="I347" s="14" t="s">
        <v>45</v>
      </c>
      <c r="J347" s="14"/>
      <c r="K347" s="13">
        <v>25846.26</v>
      </c>
      <c r="L347" s="13">
        <v>0</v>
      </c>
      <c r="M347" s="13">
        <v>0</v>
      </c>
      <c r="N347" s="13"/>
      <c r="O347" s="76">
        <v>25846.26</v>
      </c>
      <c r="P347" s="81" t="s">
        <v>272</v>
      </c>
      <c r="Q347" s="123">
        <v>347</v>
      </c>
      <c r="R347" s="123"/>
      <c r="S347" s="123"/>
      <c r="T347" s="13">
        <f>LISTA[[#This Row],[TARIFA OUT ]]+LISTA[[#This Row],[TARIFA IN]]+LISTA[[#This Row],[VALOR FINAL]]</f>
        <v>25846.26</v>
      </c>
    </row>
    <row r="348" spans="1:20" x14ac:dyDescent="0.2">
      <c r="A348" s="201" t="s">
        <v>15</v>
      </c>
      <c r="B348" s="190">
        <v>44876</v>
      </c>
      <c r="C348" s="14"/>
      <c r="D348" s="14" t="s">
        <v>668</v>
      </c>
      <c r="E348" s="14" t="s">
        <v>242</v>
      </c>
      <c r="F348" s="14" t="s">
        <v>39</v>
      </c>
      <c r="G348" s="14" t="s">
        <v>39</v>
      </c>
      <c r="H348" s="14"/>
      <c r="I348" s="14" t="s">
        <v>45</v>
      </c>
      <c r="J348" s="14"/>
      <c r="K348" s="13">
        <v>25846.26</v>
      </c>
      <c r="L348" s="13">
        <v>0</v>
      </c>
      <c r="M348" s="13">
        <v>0</v>
      </c>
      <c r="N348" s="13"/>
      <c r="O348" s="76">
        <v>25846.26</v>
      </c>
      <c r="P348" s="81" t="s">
        <v>272</v>
      </c>
      <c r="Q348" s="123">
        <v>348</v>
      </c>
      <c r="R348" s="123"/>
      <c r="S348" s="123"/>
      <c r="T348" s="13">
        <f>LISTA[[#This Row],[TARIFA OUT ]]+LISTA[[#This Row],[TARIFA IN]]+LISTA[[#This Row],[VALOR FINAL]]</f>
        <v>25846.26</v>
      </c>
    </row>
    <row r="349" spans="1:20" x14ac:dyDescent="0.2">
      <c r="A349" s="201" t="s">
        <v>15</v>
      </c>
      <c r="B349" s="190">
        <v>44877</v>
      </c>
      <c r="C349" s="14"/>
      <c r="D349" s="14" t="s">
        <v>668</v>
      </c>
      <c r="E349" s="14" t="s">
        <v>242</v>
      </c>
      <c r="F349" s="14" t="s">
        <v>39</v>
      </c>
      <c r="G349" s="14" t="s">
        <v>39</v>
      </c>
      <c r="H349" s="14"/>
      <c r="I349" s="14" t="s">
        <v>45</v>
      </c>
      <c r="J349" s="14"/>
      <c r="K349" s="13">
        <v>25846.26</v>
      </c>
      <c r="L349" s="13">
        <v>0</v>
      </c>
      <c r="M349" s="13">
        <v>0</v>
      </c>
      <c r="N349" s="13"/>
      <c r="O349" s="76">
        <v>25846.26</v>
      </c>
      <c r="P349" s="81" t="s">
        <v>272</v>
      </c>
      <c r="Q349" s="123">
        <v>349</v>
      </c>
      <c r="R349" s="123"/>
      <c r="S349" s="123"/>
      <c r="T349" s="13">
        <f>LISTA[[#This Row],[TARIFA OUT ]]+LISTA[[#This Row],[TARIFA IN]]+LISTA[[#This Row],[VALOR FINAL]]</f>
        <v>25846.26</v>
      </c>
    </row>
    <row r="350" spans="1:20" x14ac:dyDescent="0.2">
      <c r="A350" s="201" t="s">
        <v>15</v>
      </c>
      <c r="B350" s="190">
        <v>44878</v>
      </c>
      <c r="C350" s="14"/>
      <c r="D350" s="14" t="s">
        <v>668</v>
      </c>
      <c r="E350" s="14" t="s">
        <v>242</v>
      </c>
      <c r="F350" s="14" t="s">
        <v>39</v>
      </c>
      <c r="G350" s="14" t="s">
        <v>39</v>
      </c>
      <c r="H350" s="14"/>
      <c r="I350" s="14" t="s">
        <v>45</v>
      </c>
      <c r="J350" s="14"/>
      <c r="K350" s="13">
        <v>25846.26</v>
      </c>
      <c r="L350" s="13">
        <v>0</v>
      </c>
      <c r="M350" s="13">
        <v>0</v>
      </c>
      <c r="N350" s="13"/>
      <c r="O350" s="76">
        <v>25846.26</v>
      </c>
      <c r="P350" s="81" t="s">
        <v>272</v>
      </c>
      <c r="Q350" s="123">
        <v>350</v>
      </c>
      <c r="R350" s="123"/>
      <c r="S350" s="123"/>
      <c r="T350" s="13">
        <f>LISTA[[#This Row],[TARIFA OUT ]]+LISTA[[#This Row],[TARIFA IN]]+LISTA[[#This Row],[VALOR FINAL]]</f>
        <v>25846.26</v>
      </c>
    </row>
    <row r="351" spans="1:20" x14ac:dyDescent="0.2">
      <c r="A351" s="201" t="s">
        <v>15</v>
      </c>
      <c r="B351" s="190">
        <v>44879</v>
      </c>
      <c r="C351" s="14"/>
      <c r="D351" s="14" t="s">
        <v>668</v>
      </c>
      <c r="E351" s="14" t="s">
        <v>242</v>
      </c>
      <c r="F351" s="14" t="s">
        <v>39</v>
      </c>
      <c r="G351" s="14" t="s">
        <v>39</v>
      </c>
      <c r="H351" s="14"/>
      <c r="I351" s="14" t="s">
        <v>45</v>
      </c>
      <c r="J351" s="14"/>
      <c r="K351" s="13">
        <v>25846.26</v>
      </c>
      <c r="L351" s="13">
        <v>0</v>
      </c>
      <c r="M351" s="13">
        <v>0</v>
      </c>
      <c r="N351" s="13"/>
      <c r="O351" s="76">
        <v>25846.26</v>
      </c>
      <c r="P351" s="81" t="s">
        <v>272</v>
      </c>
      <c r="Q351" s="123">
        <v>351</v>
      </c>
      <c r="R351" s="123"/>
      <c r="S351" s="123"/>
      <c r="T351" s="13">
        <f>LISTA[[#This Row],[TARIFA OUT ]]+LISTA[[#This Row],[TARIFA IN]]+LISTA[[#This Row],[VALOR FINAL]]</f>
        <v>25846.26</v>
      </c>
    </row>
    <row r="352" spans="1:20" x14ac:dyDescent="0.2">
      <c r="A352" s="201" t="s">
        <v>15</v>
      </c>
      <c r="B352" s="190">
        <v>44880</v>
      </c>
      <c r="C352" s="14"/>
      <c r="D352" s="14" t="s">
        <v>668</v>
      </c>
      <c r="E352" s="14" t="s">
        <v>242</v>
      </c>
      <c r="F352" s="14" t="s">
        <v>39</v>
      </c>
      <c r="G352" s="14" t="s">
        <v>39</v>
      </c>
      <c r="H352" s="14"/>
      <c r="I352" s="14" t="s">
        <v>45</v>
      </c>
      <c r="J352" s="14"/>
      <c r="K352" s="13">
        <v>25846.26</v>
      </c>
      <c r="L352" s="13">
        <v>0</v>
      </c>
      <c r="M352" s="13">
        <v>0</v>
      </c>
      <c r="N352" s="13"/>
      <c r="O352" s="76">
        <v>25846.26</v>
      </c>
      <c r="P352" s="81" t="s">
        <v>272</v>
      </c>
      <c r="Q352" s="123">
        <v>352</v>
      </c>
      <c r="R352" s="123"/>
      <c r="S352" s="123"/>
      <c r="T352" s="13">
        <f>LISTA[[#This Row],[TARIFA OUT ]]+LISTA[[#This Row],[TARIFA IN]]+LISTA[[#This Row],[VALOR FINAL]]</f>
        <v>25846.26</v>
      </c>
    </row>
    <row r="353" spans="1:20" x14ac:dyDescent="0.2">
      <c r="A353" s="201" t="s">
        <v>15</v>
      </c>
      <c r="B353" s="190">
        <v>44881</v>
      </c>
      <c r="C353" s="14"/>
      <c r="D353" s="14" t="s">
        <v>668</v>
      </c>
      <c r="E353" s="14" t="s">
        <v>242</v>
      </c>
      <c r="F353" s="14" t="s">
        <v>39</v>
      </c>
      <c r="G353" s="14" t="s">
        <v>39</v>
      </c>
      <c r="H353" s="14"/>
      <c r="I353" s="14" t="s">
        <v>45</v>
      </c>
      <c r="J353" s="14"/>
      <c r="K353" s="13">
        <v>25846.26</v>
      </c>
      <c r="L353" s="13">
        <v>0</v>
      </c>
      <c r="M353" s="13">
        <v>0</v>
      </c>
      <c r="N353" s="13"/>
      <c r="O353" s="76">
        <v>25846.26</v>
      </c>
      <c r="P353" s="81" t="s">
        <v>272</v>
      </c>
      <c r="Q353" s="123">
        <v>353</v>
      </c>
      <c r="R353" s="123"/>
      <c r="S353" s="123"/>
      <c r="T353" s="13">
        <f>LISTA[[#This Row],[TARIFA OUT ]]+LISTA[[#This Row],[TARIFA IN]]+LISTA[[#This Row],[VALOR FINAL]]</f>
        <v>25846.26</v>
      </c>
    </row>
    <row r="354" spans="1:20" x14ac:dyDescent="0.2">
      <c r="A354" s="201" t="s">
        <v>15</v>
      </c>
      <c r="B354" s="190">
        <v>44882</v>
      </c>
      <c r="C354" s="14" t="s">
        <v>150</v>
      </c>
      <c r="D354" s="14" t="s">
        <v>668</v>
      </c>
      <c r="E354" s="14" t="s">
        <v>177</v>
      </c>
      <c r="F354" s="14" t="s">
        <v>39</v>
      </c>
      <c r="G354" s="14" t="s">
        <v>39</v>
      </c>
      <c r="H354" s="14"/>
      <c r="I354" s="14" t="s">
        <v>178</v>
      </c>
      <c r="J354" s="14"/>
      <c r="K354" s="13">
        <v>43077.1</v>
      </c>
      <c r="L354" s="13">
        <v>0</v>
      </c>
      <c r="M354" s="13">
        <v>0</v>
      </c>
      <c r="N354" s="13"/>
      <c r="O354" s="76">
        <v>43077.1</v>
      </c>
      <c r="P354" s="81" t="s">
        <v>272</v>
      </c>
      <c r="Q354" s="123">
        <v>354</v>
      </c>
      <c r="R354" s="123"/>
      <c r="S354" s="123"/>
      <c r="T354" s="13">
        <f>LISTA[[#This Row],[TARIFA OUT ]]+LISTA[[#This Row],[TARIFA IN]]+LISTA[[#This Row],[VALOR FINAL]]</f>
        <v>43077.1</v>
      </c>
    </row>
    <row r="355" spans="1:20" x14ac:dyDescent="0.2">
      <c r="A355" s="201" t="s">
        <v>15</v>
      </c>
      <c r="B355" s="190">
        <v>44882</v>
      </c>
      <c r="C355" s="14" t="s">
        <v>150</v>
      </c>
      <c r="D355" s="14" t="s">
        <v>668</v>
      </c>
      <c r="E355" s="14" t="s">
        <v>146</v>
      </c>
      <c r="F355" s="14" t="s">
        <v>39</v>
      </c>
      <c r="G355" s="14" t="s">
        <v>39</v>
      </c>
      <c r="H355" s="14"/>
      <c r="I355" s="14" t="s">
        <v>45</v>
      </c>
      <c r="J355" s="14"/>
      <c r="K355" s="13">
        <v>43077.1</v>
      </c>
      <c r="L355" s="13">
        <v>0</v>
      </c>
      <c r="M355" s="13">
        <v>0</v>
      </c>
      <c r="N355" s="13"/>
      <c r="O355" s="76">
        <v>43077.1</v>
      </c>
      <c r="P355" s="81" t="s">
        <v>272</v>
      </c>
      <c r="Q355" s="123">
        <v>355</v>
      </c>
      <c r="R355" s="123"/>
      <c r="S355" s="123"/>
      <c r="T355" s="13">
        <f>LISTA[[#This Row],[TARIFA OUT ]]+LISTA[[#This Row],[TARIFA IN]]+LISTA[[#This Row],[VALOR FINAL]]</f>
        <v>43077.1</v>
      </c>
    </row>
    <row r="356" spans="1:20" x14ac:dyDescent="0.2">
      <c r="A356" s="201" t="s">
        <v>15</v>
      </c>
      <c r="B356" s="190">
        <v>44883</v>
      </c>
      <c r="C356" s="14"/>
      <c r="D356" s="14" t="s">
        <v>668</v>
      </c>
      <c r="E356" s="14" t="s">
        <v>242</v>
      </c>
      <c r="F356" s="14" t="s">
        <v>39</v>
      </c>
      <c r="G356" s="14" t="s">
        <v>39</v>
      </c>
      <c r="H356" s="14"/>
      <c r="I356" s="14" t="s">
        <v>45</v>
      </c>
      <c r="J356" s="14"/>
      <c r="K356" s="13">
        <v>25846.26</v>
      </c>
      <c r="L356" s="13">
        <v>0</v>
      </c>
      <c r="M356" s="13">
        <v>0</v>
      </c>
      <c r="N356" s="13"/>
      <c r="O356" s="76">
        <v>25846.26</v>
      </c>
      <c r="P356" s="81" t="s">
        <v>272</v>
      </c>
      <c r="Q356" s="123">
        <v>356</v>
      </c>
      <c r="R356" s="123"/>
      <c r="S356" s="123"/>
      <c r="T356" s="13">
        <f>LISTA[[#This Row],[TARIFA OUT ]]+LISTA[[#This Row],[TARIFA IN]]+LISTA[[#This Row],[VALOR FINAL]]</f>
        <v>25846.26</v>
      </c>
    </row>
    <row r="357" spans="1:20" x14ac:dyDescent="0.2">
      <c r="A357" s="201" t="s">
        <v>15</v>
      </c>
      <c r="B357" s="190">
        <v>44884</v>
      </c>
      <c r="C357" s="14"/>
      <c r="D357" s="14" t="s">
        <v>668</v>
      </c>
      <c r="E357" s="14" t="s">
        <v>242</v>
      </c>
      <c r="F357" s="14" t="s">
        <v>39</v>
      </c>
      <c r="G357" s="14" t="s">
        <v>39</v>
      </c>
      <c r="H357" s="14"/>
      <c r="I357" s="14" t="s">
        <v>45</v>
      </c>
      <c r="J357" s="14"/>
      <c r="K357" s="13">
        <v>25846.26</v>
      </c>
      <c r="L357" s="13">
        <v>0</v>
      </c>
      <c r="M357" s="13">
        <v>0</v>
      </c>
      <c r="N357" s="13"/>
      <c r="O357" s="76">
        <v>25846.26</v>
      </c>
      <c r="P357" s="81" t="s">
        <v>272</v>
      </c>
      <c r="Q357" s="123">
        <v>357</v>
      </c>
      <c r="R357" s="123"/>
      <c r="S357" s="123"/>
      <c r="T357" s="13">
        <f>LISTA[[#This Row],[TARIFA OUT ]]+LISTA[[#This Row],[TARIFA IN]]+LISTA[[#This Row],[VALOR FINAL]]</f>
        <v>25846.26</v>
      </c>
    </row>
    <row r="358" spans="1:20" x14ac:dyDescent="0.2">
      <c r="A358" s="201" t="s">
        <v>15</v>
      </c>
      <c r="B358" s="190">
        <v>44885</v>
      </c>
      <c r="C358" s="14"/>
      <c r="D358" s="14" t="s">
        <v>668</v>
      </c>
      <c r="E358" s="14" t="s">
        <v>242</v>
      </c>
      <c r="F358" s="14" t="s">
        <v>39</v>
      </c>
      <c r="G358" s="14" t="s">
        <v>39</v>
      </c>
      <c r="H358" s="14"/>
      <c r="I358" s="14" t="s">
        <v>45</v>
      </c>
      <c r="J358" s="14"/>
      <c r="K358" s="13">
        <v>25846.26</v>
      </c>
      <c r="L358" s="13">
        <v>0</v>
      </c>
      <c r="M358" s="13">
        <v>0</v>
      </c>
      <c r="N358" s="13"/>
      <c r="O358" s="76">
        <v>25846.26</v>
      </c>
      <c r="P358" s="81" t="s">
        <v>272</v>
      </c>
      <c r="Q358" s="123">
        <v>358</v>
      </c>
      <c r="R358" s="123"/>
      <c r="S358" s="123"/>
      <c r="T358" s="13">
        <f>LISTA[[#This Row],[TARIFA OUT ]]+LISTA[[#This Row],[TARIFA IN]]+LISTA[[#This Row],[VALOR FINAL]]</f>
        <v>25846.26</v>
      </c>
    </row>
    <row r="359" spans="1:20" x14ac:dyDescent="0.2">
      <c r="A359" s="201" t="s">
        <v>15</v>
      </c>
      <c r="B359" s="199">
        <v>44886</v>
      </c>
      <c r="C359" s="200"/>
      <c r="D359" s="14" t="s">
        <v>668</v>
      </c>
      <c r="E359" s="200" t="s">
        <v>242</v>
      </c>
      <c r="F359" s="200" t="s">
        <v>39</v>
      </c>
      <c r="G359" s="200" t="s">
        <v>39</v>
      </c>
      <c r="H359" s="200"/>
      <c r="I359" s="200" t="s">
        <v>45</v>
      </c>
      <c r="J359" s="200"/>
      <c r="K359" s="13">
        <v>25846.26</v>
      </c>
      <c r="L359" s="13">
        <v>0</v>
      </c>
      <c r="M359" s="13">
        <v>0</v>
      </c>
      <c r="N359" s="13"/>
      <c r="O359" s="76">
        <v>25846.26</v>
      </c>
      <c r="P359" s="81" t="s">
        <v>272</v>
      </c>
      <c r="Q359" s="123">
        <v>359</v>
      </c>
      <c r="R359" s="123"/>
      <c r="S359" s="123"/>
      <c r="T359" s="13">
        <f>LISTA[[#This Row],[TARIFA OUT ]]+LISTA[[#This Row],[TARIFA IN]]+LISTA[[#This Row],[VALOR FINAL]]</f>
        <v>25846.26</v>
      </c>
    </row>
    <row r="360" spans="1:20" x14ac:dyDescent="0.2">
      <c r="A360" s="201" t="s">
        <v>15</v>
      </c>
      <c r="B360" s="190">
        <v>44887</v>
      </c>
      <c r="C360" s="14" t="s">
        <v>187</v>
      </c>
      <c r="D360" s="14" t="s">
        <v>668</v>
      </c>
      <c r="E360" s="14" t="s">
        <v>586</v>
      </c>
      <c r="F360" s="14" t="s">
        <v>39</v>
      </c>
      <c r="G360" s="14" t="s">
        <v>39</v>
      </c>
      <c r="H360" s="14"/>
      <c r="I360" s="14" t="s">
        <v>282</v>
      </c>
      <c r="J360" s="14"/>
      <c r="K360" s="13">
        <v>85456</v>
      </c>
      <c r="L360" s="13">
        <v>0</v>
      </c>
      <c r="M360" s="13">
        <v>0</v>
      </c>
      <c r="N360" s="13"/>
      <c r="O360" s="76">
        <v>85456</v>
      </c>
      <c r="P360" s="81" t="s">
        <v>272</v>
      </c>
      <c r="Q360" s="123">
        <v>360</v>
      </c>
      <c r="R360" s="123"/>
      <c r="S360" s="123"/>
      <c r="T360" s="13">
        <f>LISTA[[#This Row],[TARIFA OUT ]]+LISTA[[#This Row],[TARIFA IN]]+LISTA[[#This Row],[VALOR FINAL]]</f>
        <v>85456</v>
      </c>
    </row>
    <row r="361" spans="1:20" x14ac:dyDescent="0.2">
      <c r="A361" s="201" t="s">
        <v>82</v>
      </c>
      <c r="B361" s="203">
        <v>44887</v>
      </c>
      <c r="C361" s="14" t="s">
        <v>40</v>
      </c>
      <c r="D361" s="14" t="s">
        <v>669</v>
      </c>
      <c r="E361" s="14" t="s">
        <v>146</v>
      </c>
      <c r="F361" s="14" t="s">
        <v>39</v>
      </c>
      <c r="G361" s="14" t="s">
        <v>39</v>
      </c>
      <c r="H361" s="14"/>
      <c r="I361" s="14" t="s">
        <v>45</v>
      </c>
      <c r="J361" s="14">
        <v>26445</v>
      </c>
      <c r="K361" s="13">
        <v>43077.1</v>
      </c>
      <c r="L361" s="13">
        <v>0</v>
      </c>
      <c r="M361" s="13">
        <v>0</v>
      </c>
      <c r="N361" s="13">
        <v>0</v>
      </c>
      <c r="O361" s="76">
        <v>43077.1</v>
      </c>
      <c r="P361" s="81" t="s">
        <v>272</v>
      </c>
      <c r="Q361" s="123">
        <v>361</v>
      </c>
      <c r="R361" s="123"/>
      <c r="S361" s="123"/>
      <c r="T361" s="13">
        <f>LISTA[[#This Row],[TARIFA OUT ]]+LISTA[[#This Row],[TARIFA IN]]+LISTA[[#This Row],[VALOR FINAL]]</f>
        <v>43077.1</v>
      </c>
    </row>
    <row r="362" spans="1:20" x14ac:dyDescent="0.2">
      <c r="A362" s="201" t="s">
        <v>82</v>
      </c>
      <c r="B362" s="203">
        <v>44887</v>
      </c>
      <c r="C362" s="14" t="s">
        <v>47</v>
      </c>
      <c r="D362" s="14">
        <v>6749</v>
      </c>
      <c r="E362" s="14" t="s">
        <v>146</v>
      </c>
      <c r="F362" s="14" t="s">
        <v>39</v>
      </c>
      <c r="G362" s="14" t="s">
        <v>39</v>
      </c>
      <c r="H362" s="14"/>
      <c r="I362" s="14" t="s">
        <v>45</v>
      </c>
      <c r="J362" s="14">
        <v>16015</v>
      </c>
      <c r="K362" s="13">
        <v>43077.1</v>
      </c>
      <c r="L362" s="13">
        <v>0</v>
      </c>
      <c r="M362" s="13">
        <v>0</v>
      </c>
      <c r="N362" s="13">
        <v>0</v>
      </c>
      <c r="O362" s="76">
        <v>43077.1</v>
      </c>
      <c r="P362" s="81" t="s">
        <v>272</v>
      </c>
      <c r="Q362" s="123">
        <v>362</v>
      </c>
      <c r="R362" s="123"/>
      <c r="S362" s="123"/>
      <c r="T362" s="13">
        <f>LISTA[[#This Row],[TARIFA OUT ]]+LISTA[[#This Row],[TARIFA IN]]+LISTA[[#This Row],[VALOR FINAL]]</f>
        <v>43077.1</v>
      </c>
    </row>
    <row r="363" spans="1:20" x14ac:dyDescent="0.2">
      <c r="A363" s="201" t="s">
        <v>18</v>
      </c>
      <c r="B363" s="203">
        <v>44887</v>
      </c>
      <c r="C363" s="14" t="s">
        <v>158</v>
      </c>
      <c r="D363" s="14">
        <v>1608</v>
      </c>
      <c r="E363" s="14" t="s">
        <v>177</v>
      </c>
      <c r="F363" s="14" t="s">
        <v>39</v>
      </c>
      <c r="G363" s="14" t="s">
        <v>39</v>
      </c>
      <c r="H363" s="14"/>
      <c r="I363" s="14" t="s">
        <v>178</v>
      </c>
      <c r="J363" s="14">
        <v>30</v>
      </c>
      <c r="K363" s="13">
        <v>30520</v>
      </c>
      <c r="L363" s="13">
        <v>0</v>
      </c>
      <c r="M363" s="13">
        <v>0</v>
      </c>
      <c r="N363" s="13">
        <v>0</v>
      </c>
      <c r="O363" s="76">
        <v>30520</v>
      </c>
      <c r="P363" s="81" t="s">
        <v>272</v>
      </c>
      <c r="Q363" s="123">
        <v>363</v>
      </c>
      <c r="R363" s="123"/>
      <c r="S363" s="123"/>
      <c r="T363" s="13">
        <f>LISTA[[#This Row],[TARIFA OUT ]]+LISTA[[#This Row],[TARIFA IN]]+LISTA[[#This Row],[VALOR FINAL]]</f>
        <v>30520</v>
      </c>
    </row>
    <row r="364" spans="1:20" x14ac:dyDescent="0.2">
      <c r="A364" s="201" t="s">
        <v>76</v>
      </c>
      <c r="B364" s="203">
        <v>44887</v>
      </c>
      <c r="C364" s="14" t="s">
        <v>40</v>
      </c>
      <c r="D364" s="14">
        <v>1607</v>
      </c>
      <c r="E364" s="14" t="s">
        <v>671</v>
      </c>
      <c r="F364" s="14" t="s">
        <v>39</v>
      </c>
      <c r="G364" s="14" t="s">
        <v>39</v>
      </c>
      <c r="H364" s="14"/>
      <c r="I364" s="14" t="s">
        <v>202</v>
      </c>
      <c r="J364" s="14">
        <v>13208</v>
      </c>
      <c r="K364" s="13">
        <v>43077.1</v>
      </c>
      <c r="L364" s="13">
        <v>0</v>
      </c>
      <c r="M364" s="13">
        <v>0</v>
      </c>
      <c r="N364" s="13">
        <v>0</v>
      </c>
      <c r="O364" s="76">
        <v>43077.1</v>
      </c>
      <c r="P364" s="81" t="s">
        <v>272</v>
      </c>
      <c r="Q364" s="123">
        <v>364</v>
      </c>
      <c r="R364" s="123"/>
      <c r="S364" s="123"/>
      <c r="T364" s="13">
        <f>LISTA[[#This Row],[TARIFA OUT ]]+LISTA[[#This Row],[TARIFA IN]]+LISTA[[#This Row],[VALOR FINAL]]</f>
        <v>43077.1</v>
      </c>
    </row>
    <row r="365" spans="1:20" x14ac:dyDescent="0.2">
      <c r="A365" s="13" t="s">
        <v>14</v>
      </c>
      <c r="B365" s="203">
        <v>44887</v>
      </c>
      <c r="C365" s="202" t="s">
        <v>41</v>
      </c>
      <c r="D365" s="14" t="s">
        <v>656</v>
      </c>
      <c r="E365" s="14" t="s">
        <v>657</v>
      </c>
      <c r="F365" s="14" t="s">
        <v>658</v>
      </c>
      <c r="G365" s="14" t="s">
        <v>39</v>
      </c>
      <c r="H365" s="14"/>
      <c r="I365" s="14" t="s">
        <v>659</v>
      </c>
      <c r="J365" s="14">
        <v>850.71</v>
      </c>
      <c r="K365" s="13">
        <v>0</v>
      </c>
      <c r="L365" s="13">
        <v>4270.5600000000004</v>
      </c>
      <c r="M365" s="13">
        <v>0</v>
      </c>
      <c r="N365" s="13">
        <v>0</v>
      </c>
      <c r="O365" s="76">
        <v>4270.5600000000004</v>
      </c>
      <c r="P365" s="81" t="s">
        <v>272</v>
      </c>
      <c r="Q365" s="123">
        <v>330</v>
      </c>
      <c r="R365" s="13"/>
      <c r="S365" s="13"/>
      <c r="T365" s="13">
        <f>LISTA[[#This Row],[TARIFA OUT ]]+LISTA[[#This Row],[TARIFA IN]]+LISTA[[#This Row],[VALOR FINAL]]</f>
        <v>4270.5600000000004</v>
      </c>
    </row>
    <row r="366" spans="1:20" x14ac:dyDescent="0.2">
      <c r="A366" s="201" t="s">
        <v>15</v>
      </c>
      <c r="B366" s="190">
        <v>44867</v>
      </c>
      <c r="C366" s="14" t="s">
        <v>77</v>
      </c>
      <c r="D366" s="14" t="s">
        <v>672</v>
      </c>
      <c r="E366" s="14" t="s">
        <v>673</v>
      </c>
      <c r="F366" s="14" t="s">
        <v>39</v>
      </c>
      <c r="G366" s="14" t="s">
        <v>39</v>
      </c>
      <c r="H366" s="14"/>
      <c r="I366" s="14" t="s">
        <v>45</v>
      </c>
      <c r="J366" s="14">
        <v>20040</v>
      </c>
      <c r="K366" s="13">
        <v>43077.1</v>
      </c>
      <c r="L366" s="13">
        <v>0</v>
      </c>
      <c r="M366" s="13">
        <v>0</v>
      </c>
      <c r="N366" s="13"/>
      <c r="O366" s="76">
        <v>43077.1</v>
      </c>
      <c r="P366" s="81" t="s">
        <v>272</v>
      </c>
      <c r="Q366" s="123">
        <v>366</v>
      </c>
      <c r="R366" s="123"/>
      <c r="S366" s="123"/>
      <c r="T366" s="13">
        <f>LISTA[[#This Row],[TARIFA OUT ]]+LISTA[[#This Row],[TARIFA IN]]+LISTA[[#This Row],[VALOR FINAL]]</f>
        <v>43077.1</v>
      </c>
    </row>
    <row r="367" spans="1:20" x14ac:dyDescent="0.2">
      <c r="A367" s="201" t="s">
        <v>15</v>
      </c>
      <c r="B367" s="190">
        <v>44868</v>
      </c>
      <c r="C367" s="14"/>
      <c r="D367" s="14" t="s">
        <v>672</v>
      </c>
      <c r="E367" s="14" t="s">
        <v>242</v>
      </c>
      <c r="F367" s="14" t="s">
        <v>39</v>
      </c>
      <c r="G367" s="14" t="s">
        <v>39</v>
      </c>
      <c r="H367" s="14"/>
      <c r="I367" s="14" t="s">
        <v>45</v>
      </c>
      <c r="J367" s="14"/>
      <c r="K367" s="13">
        <v>25846.26</v>
      </c>
      <c r="L367" s="13">
        <v>0</v>
      </c>
      <c r="M367" s="13">
        <v>0</v>
      </c>
      <c r="N367" s="13"/>
      <c r="O367" s="76">
        <v>25846.26</v>
      </c>
      <c r="P367" s="81" t="s">
        <v>272</v>
      </c>
      <c r="Q367" s="123">
        <v>367</v>
      </c>
      <c r="R367" s="123"/>
      <c r="S367" s="123"/>
      <c r="T367" s="13">
        <f>LISTA[[#This Row],[TARIFA OUT ]]+LISTA[[#This Row],[TARIFA IN]]+LISTA[[#This Row],[VALOR FINAL]]</f>
        <v>25846.26</v>
      </c>
    </row>
    <row r="368" spans="1:20" x14ac:dyDescent="0.2">
      <c r="A368" s="201" t="s">
        <v>15</v>
      </c>
      <c r="B368" s="190">
        <v>44869</v>
      </c>
      <c r="C368" s="14"/>
      <c r="D368" s="14" t="s">
        <v>672</v>
      </c>
      <c r="E368" s="14" t="s">
        <v>242</v>
      </c>
      <c r="F368" s="14" t="s">
        <v>39</v>
      </c>
      <c r="G368" s="14" t="s">
        <v>39</v>
      </c>
      <c r="H368" s="14"/>
      <c r="I368" s="14" t="s">
        <v>45</v>
      </c>
      <c r="J368" s="14"/>
      <c r="K368" s="13">
        <v>25846.26</v>
      </c>
      <c r="L368" s="13">
        <v>0</v>
      </c>
      <c r="M368" s="13">
        <v>0</v>
      </c>
      <c r="N368" s="13"/>
      <c r="O368" s="76">
        <v>25846.26</v>
      </c>
      <c r="P368" s="81" t="s">
        <v>272</v>
      </c>
      <c r="Q368" s="123">
        <v>368</v>
      </c>
      <c r="R368" s="123"/>
      <c r="S368" s="123"/>
      <c r="T368" s="13">
        <f>LISTA[[#This Row],[TARIFA OUT ]]+LISTA[[#This Row],[TARIFA IN]]+LISTA[[#This Row],[VALOR FINAL]]</f>
        <v>25846.26</v>
      </c>
    </row>
    <row r="369" spans="1:20" x14ac:dyDescent="0.2">
      <c r="A369" s="201" t="s">
        <v>15</v>
      </c>
      <c r="B369" s="190">
        <v>44870</v>
      </c>
      <c r="C369" s="14"/>
      <c r="D369" s="14" t="s">
        <v>672</v>
      </c>
      <c r="E369" s="14" t="s">
        <v>242</v>
      </c>
      <c r="F369" s="14" t="s">
        <v>39</v>
      </c>
      <c r="G369" s="14" t="s">
        <v>39</v>
      </c>
      <c r="H369" s="14"/>
      <c r="I369" s="14" t="s">
        <v>45</v>
      </c>
      <c r="J369" s="14"/>
      <c r="K369" s="13">
        <v>25846.26</v>
      </c>
      <c r="L369" s="13">
        <v>0</v>
      </c>
      <c r="M369" s="13">
        <v>0</v>
      </c>
      <c r="N369" s="13"/>
      <c r="O369" s="76">
        <v>25846.26</v>
      </c>
      <c r="P369" s="81" t="s">
        <v>272</v>
      </c>
      <c r="Q369" s="123">
        <v>369</v>
      </c>
      <c r="R369" s="123"/>
      <c r="S369" s="123"/>
      <c r="T369" s="13">
        <f>LISTA[[#This Row],[TARIFA OUT ]]+LISTA[[#This Row],[TARIFA IN]]+LISTA[[#This Row],[VALOR FINAL]]</f>
        <v>25846.26</v>
      </c>
    </row>
    <row r="370" spans="1:20" x14ac:dyDescent="0.2">
      <c r="A370" s="201" t="s">
        <v>15</v>
      </c>
      <c r="B370" s="190">
        <v>44871</v>
      </c>
      <c r="C370" s="14"/>
      <c r="D370" s="14" t="s">
        <v>672</v>
      </c>
      <c r="E370" s="14" t="s">
        <v>242</v>
      </c>
      <c r="F370" s="14" t="s">
        <v>39</v>
      </c>
      <c r="G370" s="14" t="s">
        <v>39</v>
      </c>
      <c r="H370" s="14"/>
      <c r="I370" s="14" t="s">
        <v>45</v>
      </c>
      <c r="J370" s="14"/>
      <c r="K370" s="13">
        <v>25846.26</v>
      </c>
      <c r="L370" s="13">
        <v>0</v>
      </c>
      <c r="M370" s="13">
        <v>0</v>
      </c>
      <c r="N370" s="13"/>
      <c r="O370" s="76">
        <v>25846.26</v>
      </c>
      <c r="P370" s="81" t="s">
        <v>272</v>
      </c>
      <c r="Q370" s="123">
        <v>370</v>
      </c>
      <c r="R370" s="123"/>
      <c r="S370" s="123"/>
      <c r="T370" s="13">
        <f>LISTA[[#This Row],[TARIFA OUT ]]+LISTA[[#This Row],[TARIFA IN]]+LISTA[[#This Row],[VALOR FINAL]]</f>
        <v>25846.26</v>
      </c>
    </row>
    <row r="371" spans="1:20" x14ac:dyDescent="0.2">
      <c r="A371" s="201" t="s">
        <v>15</v>
      </c>
      <c r="B371" s="190">
        <v>44872</v>
      </c>
      <c r="C371" s="14"/>
      <c r="D371" s="14" t="s">
        <v>672</v>
      </c>
      <c r="E371" s="14" t="s">
        <v>242</v>
      </c>
      <c r="F371" s="14" t="s">
        <v>39</v>
      </c>
      <c r="G371" s="14" t="s">
        <v>39</v>
      </c>
      <c r="H371" s="14"/>
      <c r="I371" s="14" t="s">
        <v>45</v>
      </c>
      <c r="J371" s="14"/>
      <c r="K371" s="13">
        <v>25846.26</v>
      </c>
      <c r="L371" s="13">
        <v>0</v>
      </c>
      <c r="M371" s="13">
        <v>0</v>
      </c>
      <c r="N371" s="13"/>
      <c r="O371" s="76">
        <v>25846.26</v>
      </c>
      <c r="P371" s="81" t="s">
        <v>272</v>
      </c>
      <c r="Q371" s="123">
        <v>371</v>
      </c>
      <c r="R371" s="123"/>
      <c r="S371" s="123"/>
      <c r="T371" s="13">
        <f>LISTA[[#This Row],[TARIFA OUT ]]+LISTA[[#This Row],[TARIFA IN]]+LISTA[[#This Row],[VALOR FINAL]]</f>
        <v>25846.26</v>
      </c>
    </row>
    <row r="372" spans="1:20" x14ac:dyDescent="0.2">
      <c r="A372" s="201" t="s">
        <v>15</v>
      </c>
      <c r="B372" s="190">
        <v>44873</v>
      </c>
      <c r="C372" s="14"/>
      <c r="D372" s="14" t="s">
        <v>672</v>
      </c>
      <c r="E372" s="14" t="s">
        <v>242</v>
      </c>
      <c r="F372" s="14" t="s">
        <v>39</v>
      </c>
      <c r="G372" s="14" t="s">
        <v>39</v>
      </c>
      <c r="H372" s="14"/>
      <c r="I372" s="14" t="s">
        <v>45</v>
      </c>
      <c r="J372" s="14"/>
      <c r="K372" s="13">
        <v>25846.26</v>
      </c>
      <c r="L372" s="13">
        <v>0</v>
      </c>
      <c r="M372" s="13">
        <v>0</v>
      </c>
      <c r="N372" s="13"/>
      <c r="O372" s="76">
        <v>25846.26</v>
      </c>
      <c r="P372" s="81" t="s">
        <v>272</v>
      </c>
      <c r="Q372" s="123">
        <v>372</v>
      </c>
      <c r="R372" s="123"/>
      <c r="S372" s="123"/>
      <c r="T372" s="13">
        <f>LISTA[[#This Row],[TARIFA OUT ]]+LISTA[[#This Row],[TARIFA IN]]+LISTA[[#This Row],[VALOR FINAL]]</f>
        <v>25846.26</v>
      </c>
    </row>
    <row r="373" spans="1:20" x14ac:dyDescent="0.2">
      <c r="A373" s="201" t="s">
        <v>15</v>
      </c>
      <c r="B373" s="190">
        <v>44874</v>
      </c>
      <c r="C373" s="14"/>
      <c r="D373" s="14" t="s">
        <v>672</v>
      </c>
      <c r="E373" s="14" t="s">
        <v>242</v>
      </c>
      <c r="F373" s="14" t="s">
        <v>39</v>
      </c>
      <c r="G373" s="14" t="s">
        <v>39</v>
      </c>
      <c r="H373" s="14"/>
      <c r="I373" s="14" t="s">
        <v>45</v>
      </c>
      <c r="J373" s="14"/>
      <c r="K373" s="13">
        <v>25846.26</v>
      </c>
      <c r="L373" s="13">
        <v>0</v>
      </c>
      <c r="M373" s="13">
        <v>0</v>
      </c>
      <c r="N373" s="13"/>
      <c r="O373" s="76">
        <v>25846.26</v>
      </c>
      <c r="P373" s="81" t="s">
        <v>272</v>
      </c>
      <c r="Q373" s="123">
        <v>373</v>
      </c>
      <c r="R373" s="123"/>
      <c r="S373" s="123"/>
      <c r="T373" s="13">
        <f>LISTA[[#This Row],[TARIFA OUT ]]+LISTA[[#This Row],[TARIFA IN]]+LISTA[[#This Row],[VALOR FINAL]]</f>
        <v>25846.26</v>
      </c>
    </row>
    <row r="374" spans="1:20" x14ac:dyDescent="0.2">
      <c r="A374" s="201" t="s">
        <v>15</v>
      </c>
      <c r="B374" s="190">
        <v>44875</v>
      </c>
      <c r="C374" s="14"/>
      <c r="D374" s="14" t="s">
        <v>672</v>
      </c>
      <c r="E374" s="14" t="s">
        <v>242</v>
      </c>
      <c r="F374" s="14" t="s">
        <v>39</v>
      </c>
      <c r="G374" s="14" t="s">
        <v>39</v>
      </c>
      <c r="H374" s="14"/>
      <c r="I374" s="14" t="s">
        <v>45</v>
      </c>
      <c r="J374" s="14"/>
      <c r="K374" s="13">
        <v>25846.26</v>
      </c>
      <c r="L374" s="13">
        <v>0</v>
      </c>
      <c r="M374" s="13">
        <v>0</v>
      </c>
      <c r="N374" s="13"/>
      <c r="O374" s="76">
        <v>25846.26</v>
      </c>
      <c r="P374" s="81" t="s">
        <v>272</v>
      </c>
      <c r="Q374" s="123">
        <v>374</v>
      </c>
      <c r="R374" s="123"/>
      <c r="S374" s="123"/>
      <c r="T374" s="13">
        <f>LISTA[[#This Row],[TARIFA OUT ]]+LISTA[[#This Row],[TARIFA IN]]+LISTA[[#This Row],[VALOR FINAL]]</f>
        <v>25846.26</v>
      </c>
    </row>
    <row r="375" spans="1:20" x14ac:dyDescent="0.2">
      <c r="A375" s="201" t="s">
        <v>15</v>
      </c>
      <c r="B375" s="190">
        <v>44876</v>
      </c>
      <c r="C375" s="14"/>
      <c r="D375" s="14" t="s">
        <v>672</v>
      </c>
      <c r="E375" s="14" t="s">
        <v>242</v>
      </c>
      <c r="F375" s="14" t="s">
        <v>39</v>
      </c>
      <c r="G375" s="14" t="s">
        <v>39</v>
      </c>
      <c r="H375" s="14"/>
      <c r="I375" s="14" t="s">
        <v>45</v>
      </c>
      <c r="J375" s="14"/>
      <c r="K375" s="13">
        <v>25846.26</v>
      </c>
      <c r="L375" s="13">
        <v>0</v>
      </c>
      <c r="M375" s="13">
        <v>0</v>
      </c>
      <c r="N375" s="13"/>
      <c r="O375" s="76">
        <v>25846.26</v>
      </c>
      <c r="P375" s="81" t="s">
        <v>272</v>
      </c>
      <c r="Q375" s="123">
        <v>375</v>
      </c>
      <c r="R375" s="123"/>
      <c r="S375" s="123"/>
      <c r="T375" s="13">
        <f>LISTA[[#This Row],[TARIFA OUT ]]+LISTA[[#This Row],[TARIFA IN]]+LISTA[[#This Row],[VALOR FINAL]]</f>
        <v>25846.26</v>
      </c>
    </row>
    <row r="376" spans="1:20" x14ac:dyDescent="0.2">
      <c r="A376" s="201" t="s">
        <v>15</v>
      </c>
      <c r="B376" s="190">
        <v>44877</v>
      </c>
      <c r="C376" s="14"/>
      <c r="D376" s="14" t="s">
        <v>672</v>
      </c>
      <c r="E376" s="14" t="s">
        <v>242</v>
      </c>
      <c r="F376" s="14" t="s">
        <v>39</v>
      </c>
      <c r="G376" s="14" t="s">
        <v>39</v>
      </c>
      <c r="H376" s="14"/>
      <c r="I376" s="14" t="s">
        <v>45</v>
      </c>
      <c r="J376" s="14"/>
      <c r="K376" s="13">
        <v>25846.26</v>
      </c>
      <c r="L376" s="13">
        <v>0</v>
      </c>
      <c r="M376" s="13">
        <v>0</v>
      </c>
      <c r="N376" s="13"/>
      <c r="O376" s="76">
        <v>25846.26</v>
      </c>
      <c r="P376" s="81" t="s">
        <v>272</v>
      </c>
      <c r="Q376" s="123">
        <v>376</v>
      </c>
      <c r="R376" s="123"/>
      <c r="S376" s="123"/>
      <c r="T376" s="13">
        <f>LISTA[[#This Row],[TARIFA OUT ]]+LISTA[[#This Row],[TARIFA IN]]+LISTA[[#This Row],[VALOR FINAL]]</f>
        <v>25846.26</v>
      </c>
    </row>
    <row r="377" spans="1:20" x14ac:dyDescent="0.2">
      <c r="A377" s="201" t="s">
        <v>15</v>
      </c>
      <c r="B377" s="190">
        <v>44878</v>
      </c>
      <c r="C377" s="14"/>
      <c r="D377" s="14" t="s">
        <v>672</v>
      </c>
      <c r="E377" s="14" t="s">
        <v>242</v>
      </c>
      <c r="F377" s="14" t="s">
        <v>39</v>
      </c>
      <c r="G377" s="14" t="s">
        <v>39</v>
      </c>
      <c r="H377" s="14"/>
      <c r="I377" s="14" t="s">
        <v>45</v>
      </c>
      <c r="J377" s="14"/>
      <c r="K377" s="13">
        <v>25846.26</v>
      </c>
      <c r="L377" s="13">
        <v>0</v>
      </c>
      <c r="M377" s="13">
        <v>0</v>
      </c>
      <c r="N377" s="13"/>
      <c r="O377" s="76">
        <v>25846.26</v>
      </c>
      <c r="P377" s="81" t="s">
        <v>272</v>
      </c>
      <c r="Q377" s="123">
        <v>377</v>
      </c>
      <c r="R377" s="123"/>
      <c r="S377" s="123"/>
      <c r="T377" s="13">
        <f>LISTA[[#This Row],[TARIFA OUT ]]+LISTA[[#This Row],[TARIFA IN]]+LISTA[[#This Row],[VALOR FINAL]]</f>
        <v>25846.26</v>
      </c>
    </row>
    <row r="378" spans="1:20" x14ac:dyDescent="0.2">
      <c r="A378" s="201" t="s">
        <v>15</v>
      </c>
      <c r="B378" s="190">
        <v>44879</v>
      </c>
      <c r="C378" s="14"/>
      <c r="D378" s="14" t="s">
        <v>672</v>
      </c>
      <c r="E378" s="14" t="s">
        <v>242</v>
      </c>
      <c r="F378" s="14" t="s">
        <v>39</v>
      </c>
      <c r="G378" s="14" t="s">
        <v>39</v>
      </c>
      <c r="H378" s="14"/>
      <c r="I378" s="14" t="s">
        <v>45</v>
      </c>
      <c r="J378" s="14"/>
      <c r="K378" s="13">
        <v>25846.26</v>
      </c>
      <c r="L378" s="13">
        <v>0</v>
      </c>
      <c r="M378" s="13">
        <v>0</v>
      </c>
      <c r="N378" s="13"/>
      <c r="O378" s="76">
        <v>25846.26</v>
      </c>
      <c r="P378" s="81" t="s">
        <v>272</v>
      </c>
      <c r="Q378" s="123">
        <v>378</v>
      </c>
      <c r="R378" s="123"/>
      <c r="S378" s="123"/>
      <c r="T378" s="13">
        <f>LISTA[[#This Row],[TARIFA OUT ]]+LISTA[[#This Row],[TARIFA IN]]+LISTA[[#This Row],[VALOR FINAL]]</f>
        <v>25846.26</v>
      </c>
    </row>
    <row r="379" spans="1:20" x14ac:dyDescent="0.2">
      <c r="A379" s="201" t="s">
        <v>15</v>
      </c>
      <c r="B379" s="190">
        <v>44880</v>
      </c>
      <c r="C379" s="14"/>
      <c r="D379" s="14" t="s">
        <v>672</v>
      </c>
      <c r="E379" s="14" t="s">
        <v>242</v>
      </c>
      <c r="F379" s="14" t="s">
        <v>39</v>
      </c>
      <c r="G379" s="14" t="s">
        <v>39</v>
      </c>
      <c r="H379" s="14"/>
      <c r="I379" s="14" t="s">
        <v>45</v>
      </c>
      <c r="J379" s="14"/>
      <c r="K379" s="13">
        <v>25846.26</v>
      </c>
      <c r="L379" s="13">
        <v>0</v>
      </c>
      <c r="M379" s="13">
        <v>0</v>
      </c>
      <c r="N379" s="13"/>
      <c r="O379" s="76">
        <v>25846.26</v>
      </c>
      <c r="P379" s="81" t="s">
        <v>272</v>
      </c>
      <c r="Q379" s="123">
        <v>379</v>
      </c>
      <c r="R379" s="123"/>
      <c r="S379" s="123"/>
      <c r="T379" s="13">
        <f>LISTA[[#This Row],[TARIFA OUT ]]+LISTA[[#This Row],[TARIFA IN]]+LISTA[[#This Row],[VALOR FINAL]]</f>
        <v>25846.26</v>
      </c>
    </row>
    <row r="380" spans="1:20" x14ac:dyDescent="0.2">
      <c r="A380" s="201" t="s">
        <v>15</v>
      </c>
      <c r="B380" s="190">
        <v>44881</v>
      </c>
      <c r="C380" s="14"/>
      <c r="D380" s="14" t="s">
        <v>672</v>
      </c>
      <c r="E380" s="14" t="s">
        <v>242</v>
      </c>
      <c r="F380" s="14" t="s">
        <v>39</v>
      </c>
      <c r="G380" s="14" t="s">
        <v>39</v>
      </c>
      <c r="H380" s="14"/>
      <c r="I380" s="14" t="s">
        <v>45</v>
      </c>
      <c r="J380" s="14"/>
      <c r="K380" s="13">
        <v>25846.26</v>
      </c>
      <c r="L380" s="13">
        <v>0</v>
      </c>
      <c r="M380" s="13">
        <v>0</v>
      </c>
      <c r="N380" s="13"/>
      <c r="O380" s="76">
        <v>25846.26</v>
      </c>
      <c r="P380" s="81" t="s">
        <v>272</v>
      </c>
      <c r="Q380" s="123">
        <v>380</v>
      </c>
      <c r="R380" s="123"/>
      <c r="S380" s="123"/>
      <c r="T380" s="13">
        <f>LISTA[[#This Row],[TARIFA OUT ]]+LISTA[[#This Row],[TARIFA IN]]+LISTA[[#This Row],[VALOR FINAL]]</f>
        <v>25846.26</v>
      </c>
    </row>
    <row r="381" spans="1:20" x14ac:dyDescent="0.2">
      <c r="A381" s="201" t="s">
        <v>15</v>
      </c>
      <c r="B381" s="190">
        <v>44882</v>
      </c>
      <c r="C381" s="14"/>
      <c r="D381" s="14" t="s">
        <v>672</v>
      </c>
      <c r="E381" s="14" t="s">
        <v>177</v>
      </c>
      <c r="F381" s="14" t="s">
        <v>39</v>
      </c>
      <c r="G381" s="14" t="s">
        <v>39</v>
      </c>
      <c r="H381" s="14"/>
      <c r="I381" s="14" t="s">
        <v>585</v>
      </c>
      <c r="J381" s="14"/>
      <c r="K381" s="13">
        <v>43077.1</v>
      </c>
      <c r="L381" s="13">
        <v>0</v>
      </c>
      <c r="M381" s="13">
        <v>0</v>
      </c>
      <c r="N381" s="13"/>
      <c r="O381" s="76">
        <v>43077.1</v>
      </c>
      <c r="P381" s="81" t="s">
        <v>272</v>
      </c>
      <c r="Q381" s="123">
        <v>381</v>
      </c>
      <c r="R381" s="123"/>
      <c r="S381" s="123"/>
      <c r="T381" s="13">
        <f>LISTA[[#This Row],[TARIFA OUT ]]+LISTA[[#This Row],[TARIFA IN]]+LISTA[[#This Row],[VALOR FINAL]]</f>
        <v>43077.1</v>
      </c>
    </row>
    <row r="382" spans="1:20" x14ac:dyDescent="0.2">
      <c r="A382" s="201" t="s">
        <v>15</v>
      </c>
      <c r="B382" s="190">
        <v>44882</v>
      </c>
      <c r="C382" s="14"/>
      <c r="D382" s="14" t="s">
        <v>672</v>
      </c>
      <c r="E382" s="14" t="s">
        <v>146</v>
      </c>
      <c r="F382" s="14" t="s">
        <v>39</v>
      </c>
      <c r="G382" s="14" t="s">
        <v>39</v>
      </c>
      <c r="H382" s="14"/>
      <c r="I382" s="14" t="s">
        <v>45</v>
      </c>
      <c r="J382" s="14"/>
      <c r="K382" s="13">
        <v>43077.1</v>
      </c>
      <c r="L382" s="13">
        <v>0</v>
      </c>
      <c r="M382" s="13">
        <v>0</v>
      </c>
      <c r="N382" s="13"/>
      <c r="O382" s="76">
        <v>43077.1</v>
      </c>
      <c r="P382" s="81" t="s">
        <v>272</v>
      </c>
      <c r="Q382" s="123">
        <v>382</v>
      </c>
      <c r="R382" s="123"/>
      <c r="S382" s="123"/>
      <c r="T382" s="13">
        <f>LISTA[[#This Row],[TARIFA OUT ]]+LISTA[[#This Row],[TARIFA IN]]+LISTA[[#This Row],[VALOR FINAL]]</f>
        <v>43077.1</v>
      </c>
    </row>
    <row r="383" spans="1:20" x14ac:dyDescent="0.2">
      <c r="A383" s="201" t="s">
        <v>15</v>
      </c>
      <c r="B383" s="190">
        <v>44883</v>
      </c>
      <c r="C383" s="14"/>
      <c r="D383" s="14" t="s">
        <v>672</v>
      </c>
      <c r="E383" s="14" t="s">
        <v>242</v>
      </c>
      <c r="F383" s="14" t="s">
        <v>39</v>
      </c>
      <c r="G383" s="14" t="s">
        <v>39</v>
      </c>
      <c r="H383" s="14"/>
      <c r="I383" s="14" t="s">
        <v>45</v>
      </c>
      <c r="J383" s="14"/>
      <c r="K383" s="13">
        <v>25846.26</v>
      </c>
      <c r="L383" s="13">
        <v>0</v>
      </c>
      <c r="M383" s="13">
        <v>0</v>
      </c>
      <c r="N383" s="13"/>
      <c r="O383" s="76">
        <v>25846.26</v>
      </c>
      <c r="P383" s="81" t="s">
        <v>272</v>
      </c>
      <c r="Q383" s="123">
        <v>383</v>
      </c>
      <c r="R383" s="123"/>
      <c r="S383" s="123"/>
      <c r="T383" s="13">
        <f>LISTA[[#This Row],[TARIFA OUT ]]+LISTA[[#This Row],[TARIFA IN]]+LISTA[[#This Row],[VALOR FINAL]]</f>
        <v>25846.26</v>
      </c>
    </row>
    <row r="384" spans="1:20" x14ac:dyDescent="0.2">
      <c r="A384" s="201" t="s">
        <v>15</v>
      </c>
      <c r="B384" s="190">
        <v>44884</v>
      </c>
      <c r="C384" s="14"/>
      <c r="D384" s="14" t="s">
        <v>672</v>
      </c>
      <c r="E384" s="14" t="s">
        <v>242</v>
      </c>
      <c r="F384" s="14" t="s">
        <v>39</v>
      </c>
      <c r="G384" s="14" t="s">
        <v>39</v>
      </c>
      <c r="H384" s="14"/>
      <c r="I384" s="14" t="s">
        <v>45</v>
      </c>
      <c r="J384" s="14"/>
      <c r="K384" s="13">
        <v>25846.26</v>
      </c>
      <c r="L384" s="13">
        <v>0</v>
      </c>
      <c r="M384" s="13">
        <v>0</v>
      </c>
      <c r="N384" s="13"/>
      <c r="O384" s="76">
        <v>25846.26</v>
      </c>
      <c r="P384" s="81" t="s">
        <v>272</v>
      </c>
      <c r="Q384" s="123">
        <v>384</v>
      </c>
      <c r="R384" s="123"/>
      <c r="S384" s="123"/>
      <c r="T384" s="13">
        <f>LISTA[[#This Row],[TARIFA OUT ]]+LISTA[[#This Row],[TARIFA IN]]+LISTA[[#This Row],[VALOR FINAL]]</f>
        <v>25846.26</v>
      </c>
    </row>
    <row r="385" spans="1:20" x14ac:dyDescent="0.2">
      <c r="A385" s="201" t="s">
        <v>15</v>
      </c>
      <c r="B385" s="190">
        <v>44885</v>
      </c>
      <c r="C385" s="14"/>
      <c r="D385" s="14" t="s">
        <v>672</v>
      </c>
      <c r="E385" s="14" t="s">
        <v>242</v>
      </c>
      <c r="F385" s="14" t="s">
        <v>39</v>
      </c>
      <c r="G385" s="14" t="s">
        <v>39</v>
      </c>
      <c r="H385" s="14"/>
      <c r="I385" s="14" t="s">
        <v>45</v>
      </c>
      <c r="J385" s="14"/>
      <c r="K385" s="13">
        <v>25846.26</v>
      </c>
      <c r="L385" s="13">
        <v>0</v>
      </c>
      <c r="M385" s="13">
        <v>0</v>
      </c>
      <c r="N385" s="13"/>
      <c r="O385" s="76">
        <v>25846.26</v>
      </c>
      <c r="P385" s="81" t="s">
        <v>272</v>
      </c>
      <c r="Q385" s="123">
        <v>385</v>
      </c>
      <c r="R385" s="123"/>
      <c r="S385" s="123"/>
      <c r="T385" s="13">
        <f>LISTA[[#This Row],[TARIFA OUT ]]+LISTA[[#This Row],[TARIFA IN]]+LISTA[[#This Row],[VALOR FINAL]]</f>
        <v>25846.26</v>
      </c>
    </row>
    <row r="386" spans="1:20" x14ac:dyDescent="0.2">
      <c r="A386" s="201" t="s">
        <v>15</v>
      </c>
      <c r="B386" s="190">
        <v>44886</v>
      </c>
      <c r="C386" s="14"/>
      <c r="D386" s="14" t="s">
        <v>672</v>
      </c>
      <c r="E386" s="14" t="s">
        <v>242</v>
      </c>
      <c r="F386" s="14" t="s">
        <v>39</v>
      </c>
      <c r="G386" s="14" t="s">
        <v>39</v>
      </c>
      <c r="H386" s="14"/>
      <c r="I386" s="14" t="s">
        <v>45</v>
      </c>
      <c r="J386" s="14"/>
      <c r="K386" s="13">
        <v>25846.26</v>
      </c>
      <c r="L386" s="13">
        <v>0</v>
      </c>
      <c r="M386" s="13">
        <v>0</v>
      </c>
      <c r="N386" s="13"/>
      <c r="O386" s="76">
        <v>25846.26</v>
      </c>
      <c r="P386" s="81" t="s">
        <v>272</v>
      </c>
      <c r="Q386" s="123">
        <v>386</v>
      </c>
      <c r="R386" s="123"/>
      <c r="S386" s="123"/>
      <c r="T386" s="13">
        <f>LISTA[[#This Row],[TARIFA OUT ]]+LISTA[[#This Row],[TARIFA IN]]+LISTA[[#This Row],[VALOR FINAL]]</f>
        <v>25846.26</v>
      </c>
    </row>
    <row r="387" spans="1:20" x14ac:dyDescent="0.2">
      <c r="A387" s="201" t="s">
        <v>15</v>
      </c>
      <c r="B387" s="190">
        <v>44887</v>
      </c>
      <c r="C387" s="14"/>
      <c r="D387" s="14" t="s">
        <v>672</v>
      </c>
      <c r="E387" s="14" t="s">
        <v>242</v>
      </c>
      <c r="F387" s="14" t="s">
        <v>39</v>
      </c>
      <c r="G387" s="14" t="s">
        <v>39</v>
      </c>
      <c r="H387" s="14"/>
      <c r="I387" s="14" t="s">
        <v>45</v>
      </c>
      <c r="J387" s="14"/>
      <c r="K387" s="13">
        <v>25846.26</v>
      </c>
      <c r="L387" s="13">
        <v>0</v>
      </c>
      <c r="M387" s="13">
        <v>0</v>
      </c>
      <c r="N387" s="13"/>
      <c r="O387" s="76">
        <v>25846.26</v>
      </c>
      <c r="P387" s="81" t="s">
        <v>272</v>
      </c>
      <c r="Q387" s="123">
        <v>387</v>
      </c>
      <c r="R387" s="123"/>
      <c r="S387" s="123"/>
      <c r="T387" s="13">
        <f>LISTA[[#This Row],[TARIFA OUT ]]+LISTA[[#This Row],[TARIFA IN]]+LISTA[[#This Row],[VALOR FINAL]]</f>
        <v>25846.26</v>
      </c>
    </row>
    <row r="388" spans="1:20" x14ac:dyDescent="0.2">
      <c r="A388" s="201" t="s">
        <v>15</v>
      </c>
      <c r="B388" s="190">
        <v>44888</v>
      </c>
      <c r="C388" s="14" t="s">
        <v>42</v>
      </c>
      <c r="D388" s="14" t="s">
        <v>672</v>
      </c>
      <c r="E388" s="14" t="s">
        <v>674</v>
      </c>
      <c r="F388" s="14" t="s">
        <v>39</v>
      </c>
      <c r="G388" s="14" t="s">
        <v>39</v>
      </c>
      <c r="H388" s="14"/>
      <c r="I388" s="14" t="s">
        <v>282</v>
      </c>
      <c r="J388" s="14"/>
      <c r="K388" s="13">
        <v>85456</v>
      </c>
      <c r="L388" s="13">
        <v>0</v>
      </c>
      <c r="M388" s="13">
        <v>0</v>
      </c>
      <c r="N388" s="13"/>
      <c r="O388" s="76">
        <v>85456</v>
      </c>
      <c r="P388" s="81" t="s">
        <v>272</v>
      </c>
      <c r="Q388" s="123">
        <v>388</v>
      </c>
      <c r="R388" s="123"/>
      <c r="S388" s="123"/>
      <c r="T388" s="13">
        <f>LISTA[[#This Row],[TARIFA OUT ]]+LISTA[[#This Row],[TARIFA IN]]+LISTA[[#This Row],[VALOR FINAL]]</f>
        <v>85456</v>
      </c>
    </row>
    <row r="389" spans="1:20" x14ac:dyDescent="0.2">
      <c r="A389" s="201" t="s">
        <v>15</v>
      </c>
      <c r="B389" s="190">
        <v>44867</v>
      </c>
      <c r="C389" s="14" t="s">
        <v>94</v>
      </c>
      <c r="D389" s="14" t="s">
        <v>675</v>
      </c>
      <c r="E389" s="14" t="s">
        <v>673</v>
      </c>
      <c r="F389" s="14" t="s">
        <v>39</v>
      </c>
      <c r="G389" s="14" t="s">
        <v>39</v>
      </c>
      <c r="H389" s="14"/>
      <c r="I389" s="14" t="s">
        <v>45</v>
      </c>
      <c r="J389" s="14">
        <v>20040</v>
      </c>
      <c r="K389" s="13">
        <v>43077.1</v>
      </c>
      <c r="L389" s="13">
        <v>0</v>
      </c>
      <c r="M389" s="13">
        <v>0</v>
      </c>
      <c r="N389" s="13"/>
      <c r="O389" s="76">
        <v>43077.1</v>
      </c>
      <c r="P389" s="81" t="s">
        <v>272</v>
      </c>
      <c r="Q389" s="123">
        <v>389</v>
      </c>
      <c r="R389" s="123"/>
      <c r="S389" s="123"/>
      <c r="T389" s="13">
        <f>LISTA[[#This Row],[TARIFA OUT ]]+LISTA[[#This Row],[TARIFA IN]]+LISTA[[#This Row],[VALOR FINAL]]</f>
        <v>43077.1</v>
      </c>
    </row>
    <row r="390" spans="1:20" x14ac:dyDescent="0.2">
      <c r="A390" s="201" t="s">
        <v>15</v>
      </c>
      <c r="B390" s="190">
        <v>44868</v>
      </c>
      <c r="C390" s="14"/>
      <c r="D390" s="14" t="s">
        <v>675</v>
      </c>
      <c r="E390" s="14" t="s">
        <v>242</v>
      </c>
      <c r="F390" s="14" t="s">
        <v>39</v>
      </c>
      <c r="G390" s="14" t="s">
        <v>39</v>
      </c>
      <c r="H390" s="14"/>
      <c r="I390" s="14" t="s">
        <v>45</v>
      </c>
      <c r="J390" s="14"/>
      <c r="K390" s="13">
        <v>25846.26</v>
      </c>
      <c r="L390" s="13">
        <v>0</v>
      </c>
      <c r="M390" s="13">
        <v>0</v>
      </c>
      <c r="N390" s="13"/>
      <c r="O390" s="76">
        <v>25846.26</v>
      </c>
      <c r="P390" s="81" t="s">
        <v>272</v>
      </c>
      <c r="Q390" s="123">
        <v>390</v>
      </c>
      <c r="R390" s="123"/>
      <c r="S390" s="123"/>
      <c r="T390" s="13">
        <f>LISTA[[#This Row],[TARIFA OUT ]]+LISTA[[#This Row],[TARIFA IN]]+LISTA[[#This Row],[VALOR FINAL]]</f>
        <v>25846.26</v>
      </c>
    </row>
    <row r="391" spans="1:20" x14ac:dyDescent="0.2">
      <c r="A391" s="201" t="s">
        <v>15</v>
      </c>
      <c r="B391" s="190">
        <v>44869</v>
      </c>
      <c r="C391" s="14"/>
      <c r="D391" s="14" t="s">
        <v>675</v>
      </c>
      <c r="E391" s="14" t="s">
        <v>242</v>
      </c>
      <c r="F391" s="14" t="s">
        <v>39</v>
      </c>
      <c r="G391" s="14" t="s">
        <v>39</v>
      </c>
      <c r="H391" s="14"/>
      <c r="I391" s="14" t="s">
        <v>45</v>
      </c>
      <c r="J391" s="14"/>
      <c r="K391" s="13">
        <v>25846.26</v>
      </c>
      <c r="L391" s="13">
        <v>0</v>
      </c>
      <c r="M391" s="13">
        <v>0</v>
      </c>
      <c r="N391" s="13"/>
      <c r="O391" s="76">
        <v>25846.26</v>
      </c>
      <c r="P391" s="81" t="s">
        <v>272</v>
      </c>
      <c r="Q391" s="123">
        <v>391</v>
      </c>
      <c r="R391" s="123"/>
      <c r="S391" s="123"/>
      <c r="T391" s="13">
        <f>LISTA[[#This Row],[TARIFA OUT ]]+LISTA[[#This Row],[TARIFA IN]]+LISTA[[#This Row],[VALOR FINAL]]</f>
        <v>25846.26</v>
      </c>
    </row>
    <row r="392" spans="1:20" x14ac:dyDescent="0.2">
      <c r="A392" s="201" t="s">
        <v>15</v>
      </c>
      <c r="B392" s="190">
        <v>44870</v>
      </c>
      <c r="C392" s="14"/>
      <c r="D392" s="14" t="s">
        <v>675</v>
      </c>
      <c r="E392" s="14" t="s">
        <v>242</v>
      </c>
      <c r="F392" s="14" t="s">
        <v>39</v>
      </c>
      <c r="G392" s="14" t="s">
        <v>39</v>
      </c>
      <c r="H392" s="14"/>
      <c r="I392" s="14" t="s">
        <v>45</v>
      </c>
      <c r="J392" s="14"/>
      <c r="K392" s="13">
        <v>25846.26</v>
      </c>
      <c r="L392" s="13">
        <v>0</v>
      </c>
      <c r="M392" s="13">
        <v>0</v>
      </c>
      <c r="N392" s="13"/>
      <c r="O392" s="76">
        <v>25846.26</v>
      </c>
      <c r="P392" s="81" t="s">
        <v>272</v>
      </c>
      <c r="Q392" s="123">
        <v>392</v>
      </c>
      <c r="R392" s="123"/>
      <c r="S392" s="123"/>
      <c r="T392" s="13">
        <f>LISTA[[#This Row],[TARIFA OUT ]]+LISTA[[#This Row],[TARIFA IN]]+LISTA[[#This Row],[VALOR FINAL]]</f>
        <v>25846.26</v>
      </c>
    </row>
    <row r="393" spans="1:20" x14ac:dyDescent="0.2">
      <c r="A393" s="201" t="s">
        <v>15</v>
      </c>
      <c r="B393" s="190">
        <v>44871</v>
      </c>
      <c r="C393" s="14"/>
      <c r="D393" s="14" t="s">
        <v>675</v>
      </c>
      <c r="E393" s="14" t="s">
        <v>242</v>
      </c>
      <c r="F393" s="14" t="s">
        <v>39</v>
      </c>
      <c r="G393" s="14" t="s">
        <v>39</v>
      </c>
      <c r="H393" s="14"/>
      <c r="I393" s="14" t="s">
        <v>45</v>
      </c>
      <c r="J393" s="14"/>
      <c r="K393" s="13">
        <v>25846.26</v>
      </c>
      <c r="L393" s="13">
        <v>0</v>
      </c>
      <c r="M393" s="13">
        <v>0</v>
      </c>
      <c r="N393" s="13"/>
      <c r="O393" s="76">
        <v>25846.26</v>
      </c>
      <c r="P393" s="81" t="s">
        <v>272</v>
      </c>
      <c r="Q393" s="123">
        <v>393</v>
      </c>
      <c r="R393" s="123"/>
      <c r="S393" s="123"/>
      <c r="T393" s="13">
        <f>LISTA[[#This Row],[TARIFA OUT ]]+LISTA[[#This Row],[TARIFA IN]]+LISTA[[#This Row],[VALOR FINAL]]</f>
        <v>25846.26</v>
      </c>
    </row>
    <row r="394" spans="1:20" x14ac:dyDescent="0.2">
      <c r="A394" s="201" t="s">
        <v>15</v>
      </c>
      <c r="B394" s="190">
        <v>44872</v>
      </c>
      <c r="C394" s="14"/>
      <c r="D394" s="14" t="s">
        <v>675</v>
      </c>
      <c r="E394" s="14" t="s">
        <v>242</v>
      </c>
      <c r="F394" s="14" t="s">
        <v>39</v>
      </c>
      <c r="G394" s="14" t="s">
        <v>39</v>
      </c>
      <c r="H394" s="14"/>
      <c r="I394" s="14" t="s">
        <v>45</v>
      </c>
      <c r="J394" s="14"/>
      <c r="K394" s="13">
        <v>25846.26</v>
      </c>
      <c r="L394" s="13">
        <v>0</v>
      </c>
      <c r="M394" s="13">
        <v>0</v>
      </c>
      <c r="N394" s="13"/>
      <c r="O394" s="76">
        <v>25846.26</v>
      </c>
      <c r="P394" s="81" t="s">
        <v>272</v>
      </c>
      <c r="Q394" s="123">
        <v>394</v>
      </c>
      <c r="R394" s="123"/>
      <c r="S394" s="123"/>
      <c r="T394" s="13">
        <f>LISTA[[#This Row],[TARIFA OUT ]]+LISTA[[#This Row],[TARIFA IN]]+LISTA[[#This Row],[VALOR FINAL]]</f>
        <v>25846.26</v>
      </c>
    </row>
    <row r="395" spans="1:20" x14ac:dyDescent="0.2">
      <c r="A395" s="201" t="s">
        <v>15</v>
      </c>
      <c r="B395" s="190">
        <v>44873</v>
      </c>
      <c r="C395" s="14"/>
      <c r="D395" s="14" t="s">
        <v>675</v>
      </c>
      <c r="E395" s="14" t="s">
        <v>242</v>
      </c>
      <c r="F395" s="14" t="s">
        <v>39</v>
      </c>
      <c r="G395" s="14" t="s">
        <v>39</v>
      </c>
      <c r="H395" s="14"/>
      <c r="I395" s="14" t="s">
        <v>45</v>
      </c>
      <c r="J395" s="14"/>
      <c r="K395" s="13">
        <v>25846.26</v>
      </c>
      <c r="L395" s="13">
        <v>0</v>
      </c>
      <c r="M395" s="13">
        <v>0</v>
      </c>
      <c r="N395" s="13"/>
      <c r="O395" s="76">
        <v>25846.26</v>
      </c>
      <c r="P395" s="81" t="s">
        <v>272</v>
      </c>
      <c r="Q395" s="123">
        <v>395</v>
      </c>
      <c r="R395" s="123"/>
      <c r="S395" s="123"/>
      <c r="T395" s="13">
        <f>LISTA[[#This Row],[TARIFA OUT ]]+LISTA[[#This Row],[TARIFA IN]]+LISTA[[#This Row],[VALOR FINAL]]</f>
        <v>25846.26</v>
      </c>
    </row>
    <row r="396" spans="1:20" x14ac:dyDescent="0.2">
      <c r="A396" s="201" t="s">
        <v>15</v>
      </c>
      <c r="B396" s="190">
        <v>44874</v>
      </c>
      <c r="C396" s="14"/>
      <c r="D396" s="14" t="s">
        <v>675</v>
      </c>
      <c r="E396" s="14" t="s">
        <v>242</v>
      </c>
      <c r="F396" s="14" t="s">
        <v>39</v>
      </c>
      <c r="G396" s="14" t="s">
        <v>39</v>
      </c>
      <c r="H396" s="14"/>
      <c r="I396" s="14" t="s">
        <v>45</v>
      </c>
      <c r="J396" s="14"/>
      <c r="K396" s="13">
        <v>25846.26</v>
      </c>
      <c r="L396" s="13">
        <v>0</v>
      </c>
      <c r="M396" s="13">
        <v>0</v>
      </c>
      <c r="N396" s="13"/>
      <c r="O396" s="76">
        <v>25846.26</v>
      </c>
      <c r="P396" s="81" t="s">
        <v>272</v>
      </c>
      <c r="Q396" s="123">
        <v>396</v>
      </c>
      <c r="R396" s="123"/>
      <c r="S396" s="123"/>
      <c r="T396" s="13">
        <f>LISTA[[#This Row],[TARIFA OUT ]]+LISTA[[#This Row],[TARIFA IN]]+LISTA[[#This Row],[VALOR FINAL]]</f>
        <v>25846.26</v>
      </c>
    </row>
    <row r="397" spans="1:20" x14ac:dyDescent="0.2">
      <c r="A397" s="201" t="s">
        <v>15</v>
      </c>
      <c r="B397" s="190">
        <v>44875</v>
      </c>
      <c r="C397" s="14"/>
      <c r="D397" s="14" t="s">
        <v>675</v>
      </c>
      <c r="E397" s="14" t="s">
        <v>242</v>
      </c>
      <c r="F397" s="14" t="s">
        <v>39</v>
      </c>
      <c r="G397" s="14" t="s">
        <v>39</v>
      </c>
      <c r="H397" s="14"/>
      <c r="I397" s="14" t="s">
        <v>45</v>
      </c>
      <c r="J397" s="14"/>
      <c r="K397" s="13">
        <v>25846.26</v>
      </c>
      <c r="L397" s="13">
        <v>0</v>
      </c>
      <c r="M397" s="13">
        <v>0</v>
      </c>
      <c r="N397" s="13"/>
      <c r="O397" s="76">
        <v>25846.26</v>
      </c>
      <c r="P397" s="81" t="s">
        <v>272</v>
      </c>
      <c r="Q397" s="123">
        <v>397</v>
      </c>
      <c r="R397" s="123"/>
      <c r="S397" s="123"/>
      <c r="T397" s="13">
        <f>LISTA[[#This Row],[TARIFA OUT ]]+LISTA[[#This Row],[TARIFA IN]]+LISTA[[#This Row],[VALOR FINAL]]</f>
        <v>25846.26</v>
      </c>
    </row>
    <row r="398" spans="1:20" x14ac:dyDescent="0.2">
      <c r="A398" s="201" t="s">
        <v>15</v>
      </c>
      <c r="B398" s="190">
        <v>44876</v>
      </c>
      <c r="C398" s="14"/>
      <c r="D398" s="14" t="s">
        <v>675</v>
      </c>
      <c r="E398" s="14" t="s">
        <v>242</v>
      </c>
      <c r="F398" s="14" t="s">
        <v>39</v>
      </c>
      <c r="G398" s="14" t="s">
        <v>39</v>
      </c>
      <c r="H398" s="14"/>
      <c r="I398" s="14" t="s">
        <v>45</v>
      </c>
      <c r="J398" s="14"/>
      <c r="K398" s="13">
        <v>25846.26</v>
      </c>
      <c r="L398" s="13">
        <v>0</v>
      </c>
      <c r="M398" s="13">
        <v>0</v>
      </c>
      <c r="N398" s="13"/>
      <c r="O398" s="76">
        <v>25846.26</v>
      </c>
      <c r="P398" s="81" t="s">
        <v>272</v>
      </c>
      <c r="Q398" s="123">
        <v>398</v>
      </c>
      <c r="R398" s="123"/>
      <c r="S398" s="123"/>
      <c r="T398" s="13">
        <f>LISTA[[#This Row],[TARIFA OUT ]]+LISTA[[#This Row],[TARIFA IN]]+LISTA[[#This Row],[VALOR FINAL]]</f>
        <v>25846.26</v>
      </c>
    </row>
    <row r="399" spans="1:20" x14ac:dyDescent="0.2">
      <c r="A399" s="201" t="s">
        <v>15</v>
      </c>
      <c r="B399" s="190">
        <v>44877</v>
      </c>
      <c r="C399" s="14"/>
      <c r="D399" s="14" t="s">
        <v>675</v>
      </c>
      <c r="E399" s="14" t="s">
        <v>242</v>
      </c>
      <c r="F399" s="14" t="s">
        <v>39</v>
      </c>
      <c r="G399" s="14" t="s">
        <v>39</v>
      </c>
      <c r="H399" s="14"/>
      <c r="I399" s="14" t="s">
        <v>45</v>
      </c>
      <c r="J399" s="14"/>
      <c r="K399" s="13">
        <v>25846.26</v>
      </c>
      <c r="L399" s="13">
        <v>0</v>
      </c>
      <c r="M399" s="13">
        <v>0</v>
      </c>
      <c r="N399" s="13"/>
      <c r="O399" s="76">
        <v>25846.26</v>
      </c>
      <c r="P399" s="81" t="s">
        <v>272</v>
      </c>
      <c r="Q399" s="123">
        <v>399</v>
      </c>
      <c r="R399" s="123"/>
      <c r="S399" s="123"/>
      <c r="T399" s="13">
        <f>LISTA[[#This Row],[TARIFA OUT ]]+LISTA[[#This Row],[TARIFA IN]]+LISTA[[#This Row],[VALOR FINAL]]</f>
        <v>25846.26</v>
      </c>
    </row>
    <row r="400" spans="1:20" x14ac:dyDescent="0.2">
      <c r="A400" s="201" t="s">
        <v>15</v>
      </c>
      <c r="B400" s="190">
        <v>44878</v>
      </c>
      <c r="C400" s="14"/>
      <c r="D400" s="14" t="s">
        <v>675</v>
      </c>
      <c r="E400" s="14" t="s">
        <v>242</v>
      </c>
      <c r="F400" s="14" t="s">
        <v>39</v>
      </c>
      <c r="G400" s="14" t="s">
        <v>39</v>
      </c>
      <c r="H400" s="14"/>
      <c r="I400" s="14" t="s">
        <v>45</v>
      </c>
      <c r="J400" s="14"/>
      <c r="K400" s="13">
        <v>25846.26</v>
      </c>
      <c r="L400" s="13">
        <v>0</v>
      </c>
      <c r="M400" s="13">
        <v>0</v>
      </c>
      <c r="N400" s="13"/>
      <c r="O400" s="76">
        <v>25846.26</v>
      </c>
      <c r="P400" s="81" t="s">
        <v>272</v>
      </c>
      <c r="Q400" s="123">
        <v>400</v>
      </c>
      <c r="R400" s="123"/>
      <c r="S400" s="123"/>
      <c r="T400" s="13">
        <f>LISTA[[#This Row],[TARIFA OUT ]]+LISTA[[#This Row],[TARIFA IN]]+LISTA[[#This Row],[VALOR FINAL]]</f>
        <v>25846.26</v>
      </c>
    </row>
    <row r="401" spans="1:20" x14ac:dyDescent="0.2">
      <c r="A401" s="201" t="s">
        <v>15</v>
      </c>
      <c r="B401" s="190">
        <v>44879</v>
      </c>
      <c r="C401" s="14"/>
      <c r="D401" s="14" t="s">
        <v>675</v>
      </c>
      <c r="E401" s="14" t="s">
        <v>242</v>
      </c>
      <c r="F401" s="14" t="s">
        <v>39</v>
      </c>
      <c r="G401" s="14" t="s">
        <v>39</v>
      </c>
      <c r="H401" s="14"/>
      <c r="I401" s="14" t="s">
        <v>45</v>
      </c>
      <c r="J401" s="14"/>
      <c r="K401" s="13">
        <v>25846.26</v>
      </c>
      <c r="L401" s="13">
        <v>0</v>
      </c>
      <c r="M401" s="13">
        <v>0</v>
      </c>
      <c r="N401" s="13"/>
      <c r="O401" s="76">
        <v>25846.26</v>
      </c>
      <c r="P401" s="81" t="s">
        <v>272</v>
      </c>
      <c r="Q401" s="123">
        <v>401</v>
      </c>
      <c r="R401" s="123"/>
      <c r="S401" s="123"/>
      <c r="T401" s="13">
        <f>LISTA[[#This Row],[TARIFA OUT ]]+LISTA[[#This Row],[TARIFA IN]]+LISTA[[#This Row],[VALOR FINAL]]</f>
        <v>25846.26</v>
      </c>
    </row>
    <row r="402" spans="1:20" x14ac:dyDescent="0.2">
      <c r="A402" s="201" t="s">
        <v>15</v>
      </c>
      <c r="B402" s="190">
        <v>44880</v>
      </c>
      <c r="C402" s="14"/>
      <c r="D402" s="14" t="s">
        <v>675</v>
      </c>
      <c r="E402" s="14" t="s">
        <v>242</v>
      </c>
      <c r="F402" s="14" t="s">
        <v>39</v>
      </c>
      <c r="G402" s="14" t="s">
        <v>39</v>
      </c>
      <c r="H402" s="14"/>
      <c r="I402" s="14" t="s">
        <v>45</v>
      </c>
      <c r="J402" s="14"/>
      <c r="K402" s="13">
        <v>25846.26</v>
      </c>
      <c r="L402" s="13">
        <v>0</v>
      </c>
      <c r="M402" s="13">
        <v>0</v>
      </c>
      <c r="N402" s="13"/>
      <c r="O402" s="76">
        <v>25846.26</v>
      </c>
      <c r="P402" s="81" t="s">
        <v>272</v>
      </c>
      <c r="Q402" s="123">
        <v>402</v>
      </c>
      <c r="R402" s="123"/>
      <c r="S402" s="123"/>
      <c r="T402" s="13">
        <f>LISTA[[#This Row],[TARIFA OUT ]]+LISTA[[#This Row],[TARIFA IN]]+LISTA[[#This Row],[VALOR FINAL]]</f>
        <v>25846.26</v>
      </c>
    </row>
    <row r="403" spans="1:20" x14ac:dyDescent="0.2">
      <c r="A403" s="201" t="s">
        <v>15</v>
      </c>
      <c r="B403" s="190">
        <v>44881</v>
      </c>
      <c r="C403" s="14"/>
      <c r="D403" s="14" t="s">
        <v>675</v>
      </c>
      <c r="E403" s="14" t="s">
        <v>242</v>
      </c>
      <c r="F403" s="14" t="s">
        <v>39</v>
      </c>
      <c r="G403" s="14" t="s">
        <v>39</v>
      </c>
      <c r="H403" s="14"/>
      <c r="I403" s="14" t="s">
        <v>45</v>
      </c>
      <c r="J403" s="14"/>
      <c r="K403" s="13">
        <v>25846.26</v>
      </c>
      <c r="L403" s="13">
        <v>0</v>
      </c>
      <c r="M403" s="13">
        <v>0</v>
      </c>
      <c r="N403" s="13"/>
      <c r="O403" s="76">
        <v>25846.26</v>
      </c>
      <c r="P403" s="81" t="s">
        <v>272</v>
      </c>
      <c r="Q403" s="123">
        <v>403</v>
      </c>
      <c r="R403" s="123"/>
      <c r="S403" s="123"/>
      <c r="T403" s="13">
        <f>LISTA[[#This Row],[TARIFA OUT ]]+LISTA[[#This Row],[TARIFA IN]]+LISTA[[#This Row],[VALOR FINAL]]</f>
        <v>25846.26</v>
      </c>
    </row>
    <row r="404" spans="1:20" x14ac:dyDescent="0.2">
      <c r="A404" s="201" t="s">
        <v>15</v>
      </c>
      <c r="B404" s="190">
        <v>44882</v>
      </c>
      <c r="C404" s="14" t="s">
        <v>77</v>
      </c>
      <c r="D404" s="14" t="s">
        <v>675</v>
      </c>
      <c r="E404" s="14" t="s">
        <v>177</v>
      </c>
      <c r="F404" s="14" t="s">
        <v>39</v>
      </c>
      <c r="G404" s="14" t="s">
        <v>39</v>
      </c>
      <c r="H404" s="14"/>
      <c r="I404" s="14" t="s">
        <v>585</v>
      </c>
      <c r="J404" s="14"/>
      <c r="K404" s="13">
        <v>43077.1</v>
      </c>
      <c r="L404" s="13">
        <v>0</v>
      </c>
      <c r="M404" s="13">
        <v>0</v>
      </c>
      <c r="N404" s="13"/>
      <c r="O404" s="76">
        <v>43077.1</v>
      </c>
      <c r="P404" s="81" t="s">
        <v>272</v>
      </c>
      <c r="Q404" s="123">
        <v>404</v>
      </c>
      <c r="R404" s="123"/>
      <c r="S404" s="123"/>
      <c r="T404" s="13">
        <f>LISTA[[#This Row],[TARIFA OUT ]]+LISTA[[#This Row],[TARIFA IN]]+LISTA[[#This Row],[VALOR FINAL]]</f>
        <v>43077.1</v>
      </c>
    </row>
    <row r="405" spans="1:20" x14ac:dyDescent="0.2">
      <c r="A405" s="201" t="s">
        <v>15</v>
      </c>
      <c r="B405" s="190">
        <v>44882</v>
      </c>
      <c r="C405" s="14" t="s">
        <v>77</v>
      </c>
      <c r="D405" s="14" t="s">
        <v>675</v>
      </c>
      <c r="E405" s="14" t="s">
        <v>146</v>
      </c>
      <c r="F405" s="14" t="s">
        <v>39</v>
      </c>
      <c r="G405" s="14" t="s">
        <v>39</v>
      </c>
      <c r="H405" s="14"/>
      <c r="I405" s="14" t="s">
        <v>45</v>
      </c>
      <c r="J405" s="14"/>
      <c r="K405" s="13">
        <v>43077.1</v>
      </c>
      <c r="L405" s="13">
        <v>0</v>
      </c>
      <c r="M405" s="13">
        <v>0</v>
      </c>
      <c r="N405" s="13"/>
      <c r="O405" s="76">
        <v>43077.1</v>
      </c>
      <c r="P405" s="81" t="s">
        <v>272</v>
      </c>
      <c r="Q405" s="123">
        <v>405</v>
      </c>
      <c r="R405" s="123"/>
      <c r="S405" s="123"/>
      <c r="T405" s="13">
        <f>LISTA[[#This Row],[TARIFA OUT ]]+LISTA[[#This Row],[TARIFA IN]]+LISTA[[#This Row],[VALOR FINAL]]</f>
        <v>43077.1</v>
      </c>
    </row>
    <row r="406" spans="1:20" x14ac:dyDescent="0.2">
      <c r="A406" s="201" t="s">
        <v>15</v>
      </c>
      <c r="B406" s="190">
        <v>44883</v>
      </c>
      <c r="C406" s="14"/>
      <c r="D406" s="14" t="s">
        <v>675</v>
      </c>
      <c r="E406" s="14" t="s">
        <v>242</v>
      </c>
      <c r="F406" s="14" t="s">
        <v>39</v>
      </c>
      <c r="G406" s="14" t="s">
        <v>39</v>
      </c>
      <c r="H406" s="14"/>
      <c r="I406" s="14" t="s">
        <v>45</v>
      </c>
      <c r="J406" s="14"/>
      <c r="K406" s="13">
        <v>25846.26</v>
      </c>
      <c r="L406" s="13">
        <v>0</v>
      </c>
      <c r="M406" s="13">
        <v>0</v>
      </c>
      <c r="N406" s="13"/>
      <c r="O406" s="76">
        <v>25846.26</v>
      </c>
      <c r="P406" s="81" t="s">
        <v>272</v>
      </c>
      <c r="Q406" s="123">
        <v>406</v>
      </c>
      <c r="R406" s="123"/>
      <c r="S406" s="123"/>
      <c r="T406" s="13">
        <f>LISTA[[#This Row],[TARIFA OUT ]]+LISTA[[#This Row],[TARIFA IN]]+LISTA[[#This Row],[VALOR FINAL]]</f>
        <v>25846.26</v>
      </c>
    </row>
    <row r="407" spans="1:20" x14ac:dyDescent="0.2">
      <c r="A407" s="201" t="s">
        <v>15</v>
      </c>
      <c r="B407" s="190">
        <v>44884</v>
      </c>
      <c r="C407" s="14"/>
      <c r="D407" s="14" t="s">
        <v>675</v>
      </c>
      <c r="E407" s="14" t="s">
        <v>242</v>
      </c>
      <c r="F407" s="14" t="s">
        <v>39</v>
      </c>
      <c r="G407" s="14" t="s">
        <v>39</v>
      </c>
      <c r="H407" s="14"/>
      <c r="I407" s="14" t="s">
        <v>45</v>
      </c>
      <c r="J407" s="14"/>
      <c r="K407" s="13">
        <v>25846.26</v>
      </c>
      <c r="L407" s="13">
        <v>0</v>
      </c>
      <c r="M407" s="13">
        <v>0</v>
      </c>
      <c r="N407" s="13"/>
      <c r="O407" s="76">
        <v>25846.26</v>
      </c>
      <c r="P407" s="81" t="s">
        <v>272</v>
      </c>
      <c r="Q407" s="123">
        <v>407</v>
      </c>
      <c r="R407" s="123"/>
      <c r="S407" s="123"/>
      <c r="T407" s="13">
        <f>LISTA[[#This Row],[TARIFA OUT ]]+LISTA[[#This Row],[TARIFA IN]]+LISTA[[#This Row],[VALOR FINAL]]</f>
        <v>25846.26</v>
      </c>
    </row>
    <row r="408" spans="1:20" x14ac:dyDescent="0.2">
      <c r="A408" s="201" t="s">
        <v>15</v>
      </c>
      <c r="B408" s="190">
        <v>44885</v>
      </c>
      <c r="C408" s="14"/>
      <c r="D408" s="14" t="s">
        <v>675</v>
      </c>
      <c r="E408" s="14" t="s">
        <v>242</v>
      </c>
      <c r="F408" s="14" t="s">
        <v>39</v>
      </c>
      <c r="G408" s="14" t="s">
        <v>39</v>
      </c>
      <c r="H408" s="14"/>
      <c r="I408" s="14" t="s">
        <v>45</v>
      </c>
      <c r="J408" s="14"/>
      <c r="K408" s="13">
        <v>25846.26</v>
      </c>
      <c r="L408" s="13">
        <v>0</v>
      </c>
      <c r="M408" s="13">
        <v>0</v>
      </c>
      <c r="N408" s="13"/>
      <c r="O408" s="76">
        <v>25846.26</v>
      </c>
      <c r="P408" s="81" t="s">
        <v>272</v>
      </c>
      <c r="Q408" s="123">
        <v>408</v>
      </c>
      <c r="R408" s="123"/>
      <c r="S408" s="123"/>
      <c r="T408" s="13">
        <f>LISTA[[#This Row],[TARIFA OUT ]]+LISTA[[#This Row],[TARIFA IN]]+LISTA[[#This Row],[VALOR FINAL]]</f>
        <v>25846.26</v>
      </c>
    </row>
    <row r="409" spans="1:20" x14ac:dyDescent="0.2">
      <c r="A409" s="201" t="s">
        <v>15</v>
      </c>
      <c r="B409" s="190">
        <v>44886</v>
      </c>
      <c r="C409" s="14"/>
      <c r="D409" s="14" t="s">
        <v>675</v>
      </c>
      <c r="E409" s="14" t="s">
        <v>242</v>
      </c>
      <c r="F409" s="14" t="s">
        <v>39</v>
      </c>
      <c r="G409" s="14" t="s">
        <v>39</v>
      </c>
      <c r="H409" s="14"/>
      <c r="I409" s="14" t="s">
        <v>45</v>
      </c>
      <c r="J409" s="14"/>
      <c r="K409" s="13">
        <v>25846.26</v>
      </c>
      <c r="L409" s="13">
        <v>0</v>
      </c>
      <c r="M409" s="13">
        <v>0</v>
      </c>
      <c r="N409" s="13"/>
      <c r="O409" s="76">
        <v>25846.26</v>
      </c>
      <c r="P409" s="81" t="s">
        <v>272</v>
      </c>
      <c r="Q409" s="123">
        <v>409</v>
      </c>
      <c r="R409" s="123"/>
      <c r="S409" s="123"/>
      <c r="T409" s="13">
        <f>LISTA[[#This Row],[TARIFA OUT ]]+LISTA[[#This Row],[TARIFA IN]]+LISTA[[#This Row],[VALOR FINAL]]</f>
        <v>25846.26</v>
      </c>
    </row>
    <row r="410" spans="1:20" x14ac:dyDescent="0.2">
      <c r="A410" s="201" t="s">
        <v>15</v>
      </c>
      <c r="B410" s="190">
        <v>44887</v>
      </c>
      <c r="C410" s="14"/>
      <c r="D410" s="14" t="s">
        <v>675</v>
      </c>
      <c r="E410" s="14" t="s">
        <v>242</v>
      </c>
      <c r="F410" s="14" t="s">
        <v>39</v>
      </c>
      <c r="G410" s="14" t="s">
        <v>39</v>
      </c>
      <c r="H410" s="14"/>
      <c r="I410" s="14" t="s">
        <v>45</v>
      </c>
      <c r="J410" s="14"/>
      <c r="K410" s="13">
        <v>25846.26</v>
      </c>
      <c r="L410" s="13">
        <v>0</v>
      </c>
      <c r="M410" s="13">
        <v>0</v>
      </c>
      <c r="N410" s="13"/>
      <c r="O410" s="76">
        <v>25846.26</v>
      </c>
      <c r="P410" s="81" t="s">
        <v>272</v>
      </c>
      <c r="Q410" s="123">
        <v>410</v>
      </c>
      <c r="R410" s="123"/>
      <c r="S410" s="123"/>
      <c r="T410" s="13">
        <f>LISTA[[#This Row],[TARIFA OUT ]]+LISTA[[#This Row],[TARIFA IN]]+LISTA[[#This Row],[VALOR FINAL]]</f>
        <v>25846.26</v>
      </c>
    </row>
    <row r="411" spans="1:20" x14ac:dyDescent="0.2">
      <c r="A411" s="201" t="s">
        <v>15</v>
      </c>
      <c r="B411" s="190">
        <v>44888</v>
      </c>
      <c r="C411" s="14" t="s">
        <v>42</v>
      </c>
      <c r="D411" s="14" t="s">
        <v>675</v>
      </c>
      <c r="E411" s="14" t="s">
        <v>674</v>
      </c>
      <c r="F411" s="14" t="s">
        <v>39</v>
      </c>
      <c r="G411" s="14" t="s">
        <v>39</v>
      </c>
      <c r="H411" s="14"/>
      <c r="I411" s="14" t="s">
        <v>282</v>
      </c>
      <c r="J411" s="14"/>
      <c r="K411" s="13">
        <v>85456</v>
      </c>
      <c r="L411" s="13">
        <v>0</v>
      </c>
      <c r="M411" s="13">
        <v>0</v>
      </c>
      <c r="N411" s="13"/>
      <c r="O411" s="76">
        <v>85456</v>
      </c>
      <c r="P411" s="81" t="s">
        <v>272</v>
      </c>
      <c r="Q411" s="123">
        <v>411</v>
      </c>
      <c r="R411" s="123"/>
      <c r="S411" s="123"/>
      <c r="T411" s="13">
        <f>LISTA[[#This Row],[TARIFA OUT ]]+LISTA[[#This Row],[TARIFA IN]]+LISTA[[#This Row],[VALOR FINAL]]</f>
        <v>85456</v>
      </c>
    </row>
    <row r="412" spans="1:20" x14ac:dyDescent="0.2">
      <c r="A412" s="201" t="s">
        <v>82</v>
      </c>
      <c r="B412" s="190">
        <v>44888</v>
      </c>
      <c r="C412" s="14" t="s">
        <v>77</v>
      </c>
      <c r="D412" s="14">
        <v>22215</v>
      </c>
      <c r="E412" s="14" t="s">
        <v>172</v>
      </c>
      <c r="F412" s="14" t="s">
        <v>39</v>
      </c>
      <c r="G412" s="14" t="s">
        <v>39</v>
      </c>
      <c r="H412" s="14"/>
      <c r="I412" s="14" t="s">
        <v>45</v>
      </c>
      <c r="J412" s="14">
        <v>13759</v>
      </c>
      <c r="K412" s="13">
        <v>43077.1</v>
      </c>
      <c r="L412" s="13">
        <v>0</v>
      </c>
      <c r="M412" s="13">
        <v>0</v>
      </c>
      <c r="N412" s="13">
        <v>0</v>
      </c>
      <c r="O412" s="76">
        <v>43077.1</v>
      </c>
      <c r="P412" s="81" t="s">
        <v>272</v>
      </c>
      <c r="Q412" s="123">
        <v>412</v>
      </c>
      <c r="R412" s="123"/>
      <c r="S412" s="123"/>
      <c r="T412" s="13">
        <f>LISTA[[#This Row],[TARIFA OUT ]]+LISTA[[#This Row],[TARIFA IN]]+LISTA[[#This Row],[VALOR FINAL]]</f>
        <v>43077.1</v>
      </c>
    </row>
    <row r="413" spans="1:20" x14ac:dyDescent="0.2">
      <c r="A413" s="201" t="s">
        <v>82</v>
      </c>
      <c r="B413" s="190">
        <v>44888</v>
      </c>
      <c r="C413" s="14" t="s">
        <v>40</v>
      </c>
      <c r="D413" s="14">
        <v>6759</v>
      </c>
      <c r="E413" s="14" t="s">
        <v>146</v>
      </c>
      <c r="F413" s="14" t="s">
        <v>39</v>
      </c>
      <c r="G413" s="14" t="s">
        <v>39</v>
      </c>
      <c r="H413" s="14"/>
      <c r="I413" s="14" t="s">
        <v>45</v>
      </c>
      <c r="J413" s="14">
        <v>25770</v>
      </c>
      <c r="K413" s="13">
        <v>43077.1</v>
      </c>
      <c r="L413" s="13">
        <v>0</v>
      </c>
      <c r="M413" s="13">
        <v>0</v>
      </c>
      <c r="N413" s="13">
        <v>0</v>
      </c>
      <c r="O413" s="76">
        <v>43077.1</v>
      </c>
      <c r="P413" s="81" t="s">
        <v>272</v>
      </c>
      <c r="Q413" s="123">
        <v>413</v>
      </c>
      <c r="R413" s="123"/>
      <c r="S413" s="123"/>
      <c r="T413" s="13">
        <f>LISTA[[#This Row],[TARIFA OUT ]]+LISTA[[#This Row],[TARIFA IN]]+LISTA[[#This Row],[VALOR FINAL]]</f>
        <v>43077.1</v>
      </c>
    </row>
    <row r="414" spans="1:20" x14ac:dyDescent="0.2">
      <c r="A414" s="13" t="s">
        <v>14</v>
      </c>
      <c r="B414" s="203">
        <v>44887</v>
      </c>
      <c r="C414" s="202" t="s">
        <v>77</v>
      </c>
      <c r="D414" s="14" t="s">
        <v>631</v>
      </c>
      <c r="E414" s="14" t="s">
        <v>305</v>
      </c>
      <c r="F414" s="14" t="s">
        <v>306</v>
      </c>
      <c r="G414" s="14" t="s">
        <v>39</v>
      </c>
      <c r="H414" s="14"/>
      <c r="I414" s="14" t="s">
        <v>307</v>
      </c>
      <c r="J414" s="14">
        <v>5672.94</v>
      </c>
      <c r="K414" s="13">
        <v>0</v>
      </c>
      <c r="L414" s="13">
        <v>18323.599999999999</v>
      </c>
      <c r="M414" s="13">
        <v>0</v>
      </c>
      <c r="N414" s="13">
        <v>0</v>
      </c>
      <c r="O414" s="76">
        <v>18323.599999999999</v>
      </c>
      <c r="P414" s="81" t="s">
        <v>272</v>
      </c>
      <c r="Q414" s="123">
        <v>313</v>
      </c>
      <c r="R414" s="13"/>
      <c r="S414" s="13"/>
      <c r="T414" s="13">
        <f>LISTA[[#This Row],[TARIFA OUT ]]+LISTA[[#This Row],[TARIFA IN]]+LISTA[[#This Row],[VALOR FINAL]]</f>
        <v>18323.599999999999</v>
      </c>
    </row>
    <row r="415" spans="1:20" x14ac:dyDescent="0.2">
      <c r="A415" s="13" t="s">
        <v>14</v>
      </c>
      <c r="B415" s="203">
        <v>44887</v>
      </c>
      <c r="C415" s="202" t="s">
        <v>77</v>
      </c>
      <c r="D415" s="14" t="s">
        <v>632</v>
      </c>
      <c r="E415" s="14" t="s">
        <v>169</v>
      </c>
      <c r="F415" s="14" t="s">
        <v>170</v>
      </c>
      <c r="G415" s="14" t="s">
        <v>39</v>
      </c>
      <c r="H415" s="14"/>
      <c r="I415" s="14" t="s">
        <v>171</v>
      </c>
      <c r="J415" s="14">
        <v>4275.04</v>
      </c>
      <c r="K415" s="13">
        <v>0</v>
      </c>
      <c r="L415" s="13">
        <v>13808.38</v>
      </c>
      <c r="M415" s="13">
        <v>0</v>
      </c>
      <c r="N415" s="13">
        <v>0</v>
      </c>
      <c r="O415" s="76">
        <v>13808.38</v>
      </c>
      <c r="P415" s="81" t="s">
        <v>272</v>
      </c>
      <c r="Q415" s="123">
        <v>314</v>
      </c>
      <c r="R415" s="13"/>
      <c r="S415" s="13"/>
      <c r="T415" s="13">
        <f>LISTA[[#This Row],[TARIFA OUT ]]+LISTA[[#This Row],[TARIFA IN]]+LISTA[[#This Row],[VALOR FINAL]]</f>
        <v>13808.38</v>
      </c>
    </row>
    <row r="416" spans="1:20" x14ac:dyDescent="0.2">
      <c r="A416" s="13" t="s">
        <v>14</v>
      </c>
      <c r="B416" s="203">
        <v>44887</v>
      </c>
      <c r="C416" s="202" t="s">
        <v>77</v>
      </c>
      <c r="D416" s="14" t="s">
        <v>633</v>
      </c>
      <c r="E416" s="14" t="s">
        <v>169</v>
      </c>
      <c r="F416" s="14" t="s">
        <v>170</v>
      </c>
      <c r="G416" s="14" t="s">
        <v>39</v>
      </c>
      <c r="H416" s="14"/>
      <c r="I416" s="14" t="s">
        <v>171</v>
      </c>
      <c r="J416" s="14">
        <v>1559.96</v>
      </c>
      <c r="K416" s="13">
        <v>0</v>
      </c>
      <c r="L416" s="13">
        <v>7768.6</v>
      </c>
      <c r="M416" s="13">
        <v>0</v>
      </c>
      <c r="N416" s="13">
        <v>0</v>
      </c>
      <c r="O416" s="76">
        <v>7768.6</v>
      </c>
      <c r="P416" s="81" t="s">
        <v>272</v>
      </c>
      <c r="Q416" s="123">
        <v>315</v>
      </c>
      <c r="R416" s="13"/>
      <c r="S416" s="13"/>
      <c r="T416" s="13">
        <f>LISTA[[#This Row],[TARIFA OUT ]]+LISTA[[#This Row],[TARIFA IN]]+LISTA[[#This Row],[VALOR FINAL]]</f>
        <v>7768.6</v>
      </c>
    </row>
    <row r="417" spans="1:20" x14ac:dyDescent="0.2">
      <c r="A417" s="13" t="s">
        <v>14</v>
      </c>
      <c r="B417" s="203">
        <v>44887</v>
      </c>
      <c r="C417" s="202" t="s">
        <v>148</v>
      </c>
      <c r="D417" s="14" t="s">
        <v>666</v>
      </c>
      <c r="E417" s="14" t="s">
        <v>357</v>
      </c>
      <c r="F417" s="14" t="s">
        <v>123</v>
      </c>
      <c r="G417" s="14" t="s">
        <v>39</v>
      </c>
      <c r="H417" s="14"/>
      <c r="I417" s="14" t="s">
        <v>516</v>
      </c>
      <c r="J417" s="14">
        <v>2280</v>
      </c>
      <c r="K417" s="13">
        <v>0</v>
      </c>
      <c r="L417" s="13">
        <v>11605.2</v>
      </c>
      <c r="M417" s="13"/>
      <c r="N417" s="13">
        <v>0</v>
      </c>
      <c r="O417" s="76">
        <v>11605.2</v>
      </c>
      <c r="P417" s="81" t="s">
        <v>272</v>
      </c>
      <c r="Q417" s="123">
        <v>337</v>
      </c>
      <c r="R417" s="13"/>
      <c r="S417" s="13"/>
      <c r="T417" s="13">
        <f>LISTA[[#This Row],[TARIFA OUT ]]+LISTA[[#This Row],[TARIFA IN]]+LISTA[[#This Row],[VALOR FINAL]]</f>
        <v>11605.2</v>
      </c>
    </row>
    <row r="418" spans="1:20" x14ac:dyDescent="0.2">
      <c r="A418" s="13" t="s">
        <v>14</v>
      </c>
      <c r="B418" s="203">
        <v>44887</v>
      </c>
      <c r="C418" s="202" t="s">
        <v>148</v>
      </c>
      <c r="D418" s="14" t="s">
        <v>667</v>
      </c>
      <c r="E418" s="14" t="s">
        <v>357</v>
      </c>
      <c r="F418" s="14" t="s">
        <v>123</v>
      </c>
      <c r="G418" s="14" t="s">
        <v>39</v>
      </c>
      <c r="H418" s="14"/>
      <c r="I418" s="14" t="s">
        <v>516</v>
      </c>
      <c r="J418" s="14">
        <v>6357.9</v>
      </c>
      <c r="K418" s="13">
        <v>0</v>
      </c>
      <c r="L418" s="13">
        <v>32234.55</v>
      </c>
      <c r="M418" s="13"/>
      <c r="N418" s="13">
        <v>0</v>
      </c>
      <c r="O418" s="76">
        <v>32234.55</v>
      </c>
      <c r="P418" s="81" t="s">
        <v>272</v>
      </c>
      <c r="Q418" s="123">
        <v>338</v>
      </c>
      <c r="R418" s="13"/>
      <c r="S418" s="13"/>
      <c r="T418" s="13">
        <f>LISTA[[#This Row],[TARIFA OUT ]]+LISTA[[#This Row],[TARIFA IN]]+LISTA[[#This Row],[VALOR FINAL]]</f>
        <v>32234.55</v>
      </c>
    </row>
    <row r="419" spans="1:20" x14ac:dyDescent="0.2">
      <c r="A419" s="13" t="s">
        <v>14</v>
      </c>
      <c r="B419" s="203">
        <v>44887</v>
      </c>
      <c r="C419" s="202" t="s">
        <v>41</v>
      </c>
      <c r="D419" s="14" t="s">
        <v>660</v>
      </c>
      <c r="E419" s="14" t="s">
        <v>353</v>
      </c>
      <c r="F419" s="14" t="s">
        <v>126</v>
      </c>
      <c r="G419" s="14" t="s">
        <v>39</v>
      </c>
      <c r="H419" s="14"/>
      <c r="I419" s="14" t="s">
        <v>536</v>
      </c>
      <c r="J419" s="14">
        <v>1624.92</v>
      </c>
      <c r="K419" s="13">
        <v>0</v>
      </c>
      <c r="L419" s="13">
        <v>8092.1</v>
      </c>
      <c r="M419" s="13">
        <v>0</v>
      </c>
      <c r="N419" s="13">
        <v>0</v>
      </c>
      <c r="O419" s="76">
        <v>8092.1</v>
      </c>
      <c r="P419" s="81" t="s">
        <v>272</v>
      </c>
      <c r="Q419" s="123">
        <v>331</v>
      </c>
      <c r="R419" s="13"/>
      <c r="S419" s="13"/>
      <c r="T419" s="13">
        <f>LISTA[[#This Row],[TARIFA OUT ]]+LISTA[[#This Row],[TARIFA IN]]+LISTA[[#This Row],[VALOR FINAL]]</f>
        <v>8092.1</v>
      </c>
    </row>
    <row r="420" spans="1:20" x14ac:dyDescent="0.2">
      <c r="A420" s="13" t="s">
        <v>14</v>
      </c>
      <c r="B420" s="203">
        <v>44887</v>
      </c>
      <c r="C420" s="202" t="s">
        <v>91</v>
      </c>
      <c r="D420" s="14" t="s">
        <v>637</v>
      </c>
      <c r="E420" s="14" t="s">
        <v>480</v>
      </c>
      <c r="F420" s="14" t="s">
        <v>481</v>
      </c>
      <c r="G420" s="14" t="s">
        <v>39</v>
      </c>
      <c r="H420" s="14"/>
      <c r="I420" s="14" t="s">
        <v>164</v>
      </c>
      <c r="J420" s="14">
        <v>446.33</v>
      </c>
      <c r="K420" s="13">
        <v>0</v>
      </c>
      <c r="L420" s="13">
        <v>2240.58</v>
      </c>
      <c r="M420" s="13"/>
      <c r="N420" s="13">
        <v>0</v>
      </c>
      <c r="O420" s="76">
        <v>2240.58</v>
      </c>
      <c r="P420" s="81" t="s">
        <v>272</v>
      </c>
      <c r="Q420" s="123">
        <v>317</v>
      </c>
      <c r="R420" s="13"/>
      <c r="S420" s="13"/>
      <c r="T420" s="13"/>
    </row>
    <row r="421" spans="1:20" x14ac:dyDescent="0.2">
      <c r="A421" s="13" t="s">
        <v>14</v>
      </c>
      <c r="B421" s="203">
        <v>44887</v>
      </c>
      <c r="C421" s="202" t="s">
        <v>41</v>
      </c>
      <c r="D421" s="14" t="s">
        <v>661</v>
      </c>
      <c r="E421" s="14" t="s">
        <v>353</v>
      </c>
      <c r="F421" s="14" t="s">
        <v>126</v>
      </c>
      <c r="G421" s="14" t="s">
        <v>39</v>
      </c>
      <c r="H421" s="14"/>
      <c r="I421" s="14" t="s">
        <v>536</v>
      </c>
      <c r="J421" s="14">
        <v>113.7</v>
      </c>
      <c r="K421" s="13">
        <v>0</v>
      </c>
      <c r="L421" s="13">
        <v>1021.38</v>
      </c>
      <c r="M421" s="13">
        <v>0</v>
      </c>
      <c r="N421" s="13">
        <v>0</v>
      </c>
      <c r="O421" s="76">
        <v>1021.38</v>
      </c>
      <c r="P421" s="81" t="s">
        <v>272</v>
      </c>
      <c r="Q421" s="123">
        <v>332</v>
      </c>
      <c r="R421" s="13"/>
      <c r="S421" s="13"/>
      <c r="T421" s="13">
        <f>LISTA[[#This Row],[TARIFA OUT ]]+LISTA[[#This Row],[TARIFA IN]]+LISTA[[#This Row],[VALOR FINAL]]</f>
        <v>1021.38</v>
      </c>
    </row>
    <row r="422" spans="1:20" x14ac:dyDescent="0.2">
      <c r="A422" s="13" t="s">
        <v>14</v>
      </c>
      <c r="B422" s="203">
        <v>44887</v>
      </c>
      <c r="C422" s="202" t="s">
        <v>41</v>
      </c>
      <c r="D422" s="14" t="s">
        <v>662</v>
      </c>
      <c r="E422" s="14" t="s">
        <v>180</v>
      </c>
      <c r="F422" s="14" t="s">
        <v>181</v>
      </c>
      <c r="G422" s="14" t="s">
        <v>39</v>
      </c>
      <c r="H422" s="14"/>
      <c r="I422" s="14" t="s">
        <v>182</v>
      </c>
      <c r="J422" s="14">
        <v>568.96</v>
      </c>
      <c r="K422" s="13">
        <v>0</v>
      </c>
      <c r="L422" s="13">
        <v>2856.18</v>
      </c>
      <c r="M422" s="13">
        <v>0</v>
      </c>
      <c r="N422" s="13">
        <v>0</v>
      </c>
      <c r="O422" s="76">
        <v>2856.18</v>
      </c>
      <c r="P422" s="81" t="s">
        <v>272</v>
      </c>
      <c r="Q422" s="123">
        <v>333</v>
      </c>
      <c r="R422" s="13"/>
      <c r="S422" s="13"/>
      <c r="T422" s="13">
        <f>LISTA[[#This Row],[TARIFA OUT ]]+LISTA[[#This Row],[TARIFA IN]]+LISTA[[#This Row],[VALOR FINAL]]</f>
        <v>2856.18</v>
      </c>
    </row>
    <row r="423" spans="1:20" x14ac:dyDescent="0.2">
      <c r="A423" s="13" t="s">
        <v>14</v>
      </c>
      <c r="B423" s="203">
        <v>44887</v>
      </c>
      <c r="C423" s="202" t="s">
        <v>41</v>
      </c>
      <c r="D423" s="14" t="s">
        <v>663</v>
      </c>
      <c r="E423" s="14" t="s">
        <v>367</v>
      </c>
      <c r="F423" s="14" t="s">
        <v>147</v>
      </c>
      <c r="G423" s="14" t="s">
        <v>39</v>
      </c>
      <c r="H423" s="14"/>
      <c r="I423" s="14" t="s">
        <v>368</v>
      </c>
      <c r="J423" s="14">
        <v>1486.16</v>
      </c>
      <c r="K423" s="13">
        <v>0</v>
      </c>
      <c r="L423" s="13">
        <v>7401.08</v>
      </c>
      <c r="M423" s="13">
        <v>0</v>
      </c>
      <c r="N423" s="13">
        <v>0</v>
      </c>
      <c r="O423" s="76">
        <v>7401.08</v>
      </c>
      <c r="P423" s="81" t="s">
        <v>272</v>
      </c>
      <c r="Q423" s="123">
        <v>334</v>
      </c>
      <c r="R423" s="13"/>
      <c r="S423" s="13"/>
      <c r="T423" s="13">
        <f>LISTA[[#This Row],[TARIFA OUT ]]+LISTA[[#This Row],[TARIFA IN]]+LISTA[[#This Row],[VALOR FINAL]]</f>
        <v>7401.08</v>
      </c>
    </row>
    <row r="424" spans="1:20" x14ac:dyDescent="0.2">
      <c r="A424" s="13" t="s">
        <v>14</v>
      </c>
      <c r="B424" s="203">
        <v>44887</v>
      </c>
      <c r="C424" s="202" t="s">
        <v>91</v>
      </c>
      <c r="D424" s="14" t="s">
        <v>638</v>
      </c>
      <c r="E424" s="14" t="s">
        <v>639</v>
      </c>
      <c r="F424" s="14" t="s">
        <v>640</v>
      </c>
      <c r="G424" s="14" t="s">
        <v>39</v>
      </c>
      <c r="H424" s="14"/>
      <c r="I424" s="14" t="s">
        <v>641</v>
      </c>
      <c r="J424" s="14">
        <v>74.8</v>
      </c>
      <c r="K424" s="13">
        <v>0</v>
      </c>
      <c r="L424" s="13">
        <v>1021.38</v>
      </c>
      <c r="M424" s="13"/>
      <c r="N424" s="13">
        <v>0</v>
      </c>
      <c r="O424" s="76">
        <v>1021.38</v>
      </c>
      <c r="P424" s="81" t="s">
        <v>272</v>
      </c>
      <c r="Q424" s="123">
        <v>318</v>
      </c>
      <c r="R424" s="13"/>
      <c r="S424" s="13"/>
      <c r="T424" s="13"/>
    </row>
    <row r="425" spans="1:20" x14ac:dyDescent="0.2">
      <c r="A425" s="13" t="s">
        <v>14</v>
      </c>
      <c r="B425" s="203">
        <v>44887</v>
      </c>
      <c r="C425" s="202" t="s">
        <v>91</v>
      </c>
      <c r="D425" s="14" t="s">
        <v>642</v>
      </c>
      <c r="E425" s="14" t="s">
        <v>643</v>
      </c>
      <c r="F425" s="14" t="s">
        <v>206</v>
      </c>
      <c r="G425" s="14" t="s">
        <v>97</v>
      </c>
      <c r="H425" s="14"/>
      <c r="I425" s="14" t="s">
        <v>644</v>
      </c>
      <c r="J425" s="14">
        <v>913.12</v>
      </c>
      <c r="K425" s="13">
        <v>0</v>
      </c>
      <c r="L425" s="13">
        <v>4583.8599999999997</v>
      </c>
      <c r="M425" s="13">
        <v>15486.52</v>
      </c>
      <c r="N425" s="13">
        <v>0</v>
      </c>
      <c r="O425" s="76">
        <v>20070.38</v>
      </c>
      <c r="P425" s="81" t="s">
        <v>272</v>
      </c>
      <c r="Q425" s="123">
        <v>319</v>
      </c>
      <c r="R425" s="13"/>
      <c r="S425" s="13"/>
      <c r="T425" s="13">
        <f>LISTA[[#This Row],[TARIFA OUT ]]+LISTA[[#This Row],[TARIFA IN]]+LISTA[[#This Row],[VALOR FINAL]]</f>
        <v>20070.38</v>
      </c>
    </row>
    <row r="426" spans="1:20" x14ac:dyDescent="0.2">
      <c r="A426" s="13" t="s">
        <v>14</v>
      </c>
      <c r="B426" s="203">
        <v>44887</v>
      </c>
      <c r="C426" s="202" t="s">
        <v>88</v>
      </c>
      <c r="D426" s="14" t="s">
        <v>652</v>
      </c>
      <c r="E426" s="14" t="s">
        <v>438</v>
      </c>
      <c r="F426" s="14" t="s">
        <v>123</v>
      </c>
      <c r="G426" s="14" t="s">
        <v>39</v>
      </c>
      <c r="H426" s="14"/>
      <c r="I426" s="14" t="s">
        <v>441</v>
      </c>
      <c r="J426" s="14">
        <v>172</v>
      </c>
      <c r="K426" s="13">
        <v>0</v>
      </c>
      <c r="L426" s="13">
        <v>1036.48</v>
      </c>
      <c r="M426" s="13">
        <v>0</v>
      </c>
      <c r="N426" s="13">
        <v>0</v>
      </c>
      <c r="O426" s="76">
        <v>1036.48</v>
      </c>
      <c r="P426" s="81" t="s">
        <v>272</v>
      </c>
      <c r="Q426" s="123">
        <v>326</v>
      </c>
      <c r="R426" s="13"/>
      <c r="S426" s="13"/>
      <c r="T426" s="13">
        <f>LISTA[[#This Row],[TARIFA OUT ]]+LISTA[[#This Row],[TARIFA IN]]+LISTA[[#This Row],[VALOR FINAL]]</f>
        <v>1036.48</v>
      </c>
    </row>
    <row r="427" spans="1:20" x14ac:dyDescent="0.2">
      <c r="A427" s="13" t="s">
        <v>14</v>
      </c>
      <c r="B427" s="190">
        <v>44888</v>
      </c>
      <c r="C427" s="202" t="s">
        <v>38</v>
      </c>
      <c r="D427" s="14" t="s">
        <v>701</v>
      </c>
      <c r="E427" s="14" t="s">
        <v>389</v>
      </c>
      <c r="F427" s="14" t="s">
        <v>390</v>
      </c>
      <c r="G427" s="14" t="s">
        <v>39</v>
      </c>
      <c r="H427" s="14"/>
      <c r="I427" s="14" t="s">
        <v>391</v>
      </c>
      <c r="J427" s="14">
        <v>41.22</v>
      </c>
      <c r="K427" s="13">
        <v>0</v>
      </c>
      <c r="L427" s="13">
        <v>1021.38</v>
      </c>
      <c r="M427" s="13">
        <v>0</v>
      </c>
      <c r="N427" s="13">
        <v>0</v>
      </c>
      <c r="O427" s="76">
        <v>1021.38</v>
      </c>
      <c r="P427" s="81" t="s">
        <v>272</v>
      </c>
      <c r="Q427" s="123">
        <v>432</v>
      </c>
      <c r="R427" s="123"/>
      <c r="S427" s="123"/>
      <c r="T427" s="13">
        <f>LISTA[[#This Row],[TARIFA OUT ]]+LISTA[[#This Row],[TARIFA IN]]+LISTA[[#This Row],[VALOR FINAL]]</f>
        <v>1021.38</v>
      </c>
    </row>
    <row r="428" spans="1:20" x14ac:dyDescent="0.2">
      <c r="A428" s="13" t="s">
        <v>14</v>
      </c>
      <c r="B428" s="190">
        <v>44888</v>
      </c>
      <c r="C428" s="202" t="s">
        <v>38</v>
      </c>
      <c r="D428" s="14" t="s">
        <v>702</v>
      </c>
      <c r="E428" s="14" t="s">
        <v>389</v>
      </c>
      <c r="F428" s="14" t="s">
        <v>390</v>
      </c>
      <c r="G428" s="14" t="s">
        <v>39</v>
      </c>
      <c r="H428" s="14"/>
      <c r="I428" s="14" t="s">
        <v>391</v>
      </c>
      <c r="J428" s="14">
        <v>793.6</v>
      </c>
      <c r="K428" s="13">
        <v>0</v>
      </c>
      <c r="L428" s="13">
        <v>3983.87</v>
      </c>
      <c r="M428" s="13">
        <v>0</v>
      </c>
      <c r="N428" s="13">
        <v>0</v>
      </c>
      <c r="O428" s="76">
        <v>3983.87</v>
      </c>
      <c r="P428" s="81" t="s">
        <v>272</v>
      </c>
      <c r="Q428" s="123">
        <v>433</v>
      </c>
      <c r="R428" s="123"/>
      <c r="S428" s="123"/>
      <c r="T428" s="13">
        <f>LISTA[[#This Row],[TARIFA OUT ]]+LISTA[[#This Row],[TARIFA IN]]+LISTA[[#This Row],[VALOR FINAL]]</f>
        <v>3983.87</v>
      </c>
    </row>
    <row r="429" spans="1:20" x14ac:dyDescent="0.2">
      <c r="A429" s="13" t="s">
        <v>14</v>
      </c>
      <c r="B429" s="190">
        <v>44888</v>
      </c>
      <c r="C429" s="202" t="s">
        <v>38</v>
      </c>
      <c r="D429" s="14" t="s">
        <v>703</v>
      </c>
      <c r="E429" s="14" t="s">
        <v>560</v>
      </c>
      <c r="F429" s="14" t="s">
        <v>561</v>
      </c>
      <c r="G429" s="14" t="s">
        <v>39</v>
      </c>
      <c r="H429" s="14"/>
      <c r="I429" s="14" t="s">
        <v>562</v>
      </c>
      <c r="J429" s="14">
        <v>388.68</v>
      </c>
      <c r="K429" s="13">
        <v>0</v>
      </c>
      <c r="L429" s="13">
        <v>1951.17</v>
      </c>
      <c r="M429" s="13">
        <v>0</v>
      </c>
      <c r="N429" s="13">
        <v>0</v>
      </c>
      <c r="O429" s="76">
        <v>1951.17</v>
      </c>
      <c r="P429" s="81" t="s">
        <v>272</v>
      </c>
      <c r="Q429" s="123">
        <v>434</v>
      </c>
      <c r="R429" s="123"/>
      <c r="S429" s="123"/>
      <c r="T429" s="13">
        <f>LISTA[[#This Row],[TARIFA OUT ]]+LISTA[[#This Row],[TARIFA IN]]+LISTA[[#This Row],[VALOR FINAL]]</f>
        <v>1951.17</v>
      </c>
    </row>
    <row r="430" spans="1:20" x14ac:dyDescent="0.2">
      <c r="A430" s="13" t="s">
        <v>14</v>
      </c>
      <c r="B430" s="190">
        <v>44888</v>
      </c>
      <c r="C430" s="202" t="s">
        <v>38</v>
      </c>
      <c r="D430" s="14" t="s">
        <v>704</v>
      </c>
      <c r="E430" s="14" t="s">
        <v>560</v>
      </c>
      <c r="F430" s="14" t="s">
        <v>561</v>
      </c>
      <c r="G430" s="14" t="s">
        <v>39</v>
      </c>
      <c r="H430" s="14"/>
      <c r="I430" s="14" t="s">
        <v>562</v>
      </c>
      <c r="J430" s="14">
        <v>110.76</v>
      </c>
      <c r="K430" s="13">
        <v>0</v>
      </c>
      <c r="L430" s="13">
        <v>1021.38</v>
      </c>
      <c r="M430" s="13">
        <v>0</v>
      </c>
      <c r="N430" s="13">
        <v>0</v>
      </c>
      <c r="O430" s="76">
        <v>1021.38</v>
      </c>
      <c r="P430" s="81" t="s">
        <v>272</v>
      </c>
      <c r="Q430" s="123">
        <v>435</v>
      </c>
      <c r="R430" s="123"/>
      <c r="S430" s="123"/>
      <c r="T430" s="13">
        <f>LISTA[[#This Row],[TARIFA OUT ]]+LISTA[[#This Row],[TARIFA IN]]+LISTA[[#This Row],[VALOR FINAL]]</f>
        <v>1021.38</v>
      </c>
    </row>
    <row r="431" spans="1:20" x14ac:dyDescent="0.2">
      <c r="A431" s="13" t="s">
        <v>14</v>
      </c>
      <c r="B431" s="190">
        <v>44888</v>
      </c>
      <c r="C431" s="202" t="s">
        <v>148</v>
      </c>
      <c r="D431" s="14" t="s">
        <v>719</v>
      </c>
      <c r="E431" s="14" t="s">
        <v>720</v>
      </c>
      <c r="F431" s="14" t="s">
        <v>123</v>
      </c>
      <c r="G431" s="14" t="s">
        <v>39</v>
      </c>
      <c r="H431" s="14"/>
      <c r="I431" s="14" t="s">
        <v>591</v>
      </c>
      <c r="J431" s="14">
        <v>3942.56</v>
      </c>
      <c r="K431" s="13">
        <v>0</v>
      </c>
      <c r="L431" s="13">
        <v>19633.95</v>
      </c>
      <c r="M431" s="13">
        <v>0</v>
      </c>
      <c r="N431" s="13">
        <v>0</v>
      </c>
      <c r="O431" s="76">
        <v>19633.95</v>
      </c>
      <c r="P431" s="81" t="s">
        <v>272</v>
      </c>
      <c r="Q431" s="123">
        <v>445</v>
      </c>
      <c r="R431" s="123"/>
      <c r="S431" s="123"/>
      <c r="T431" s="13">
        <f>LISTA[[#This Row],[TARIFA OUT ]]+LISTA[[#This Row],[TARIFA IN]]+LISTA[[#This Row],[VALOR FINAL]]</f>
        <v>19633.95</v>
      </c>
    </row>
    <row r="432" spans="1:20" x14ac:dyDescent="0.2">
      <c r="A432" s="13" t="s">
        <v>14</v>
      </c>
      <c r="B432" s="190">
        <v>44888</v>
      </c>
      <c r="C432" s="202" t="s">
        <v>148</v>
      </c>
      <c r="D432" s="14" t="s">
        <v>721</v>
      </c>
      <c r="E432" s="14" t="s">
        <v>720</v>
      </c>
      <c r="F432" s="14" t="s">
        <v>123</v>
      </c>
      <c r="G432" s="14" t="s">
        <v>39</v>
      </c>
      <c r="H432" s="14"/>
      <c r="I432" s="14" t="s">
        <v>591</v>
      </c>
      <c r="J432" s="14">
        <v>869.86</v>
      </c>
      <c r="K432" s="13">
        <v>0</v>
      </c>
      <c r="L432" s="13">
        <v>4366.7</v>
      </c>
      <c r="M432" s="13">
        <v>0</v>
      </c>
      <c r="N432" s="13">
        <v>0</v>
      </c>
      <c r="O432" s="76">
        <v>4366.7</v>
      </c>
      <c r="P432" s="81" t="s">
        <v>272</v>
      </c>
      <c r="Q432" s="123">
        <v>446</v>
      </c>
      <c r="R432" s="123"/>
      <c r="S432" s="123"/>
      <c r="T432" s="13">
        <f>LISTA[[#This Row],[TARIFA OUT ]]+LISTA[[#This Row],[TARIFA IN]]+LISTA[[#This Row],[VALOR FINAL]]</f>
        <v>4366.7</v>
      </c>
    </row>
    <row r="433" spans="1:20" x14ac:dyDescent="0.2">
      <c r="A433" s="13" t="s">
        <v>14</v>
      </c>
      <c r="B433" s="190">
        <v>44888</v>
      </c>
      <c r="C433" s="202" t="s">
        <v>148</v>
      </c>
      <c r="D433" s="14" t="s">
        <v>722</v>
      </c>
      <c r="E433" s="14" t="s">
        <v>180</v>
      </c>
      <c r="F433" s="14" t="s">
        <v>181</v>
      </c>
      <c r="G433" s="14" t="s">
        <v>39</v>
      </c>
      <c r="H433" s="14"/>
      <c r="I433" s="14" t="s">
        <v>182</v>
      </c>
      <c r="J433" s="14">
        <v>184.6</v>
      </c>
      <c r="K433" s="13">
        <v>0</v>
      </c>
      <c r="L433" s="13">
        <v>1021.38</v>
      </c>
      <c r="M433" s="13">
        <v>0</v>
      </c>
      <c r="N433" s="13">
        <v>0</v>
      </c>
      <c r="O433" s="76">
        <v>1021.38</v>
      </c>
      <c r="P433" s="81" t="s">
        <v>272</v>
      </c>
      <c r="Q433" s="123">
        <v>447</v>
      </c>
      <c r="R433" s="123"/>
      <c r="S433" s="123"/>
      <c r="T433" s="13">
        <f>LISTA[[#This Row],[TARIFA OUT ]]+LISTA[[#This Row],[TARIFA IN]]+LISTA[[#This Row],[VALOR FINAL]]</f>
        <v>1021.38</v>
      </c>
    </row>
    <row r="434" spans="1:20" x14ac:dyDescent="0.2">
      <c r="A434" s="13" t="s">
        <v>14</v>
      </c>
      <c r="B434" s="190">
        <v>44888</v>
      </c>
      <c r="C434" s="202" t="s">
        <v>38</v>
      </c>
      <c r="D434" s="14" t="s">
        <v>705</v>
      </c>
      <c r="E434" s="14" t="s">
        <v>657</v>
      </c>
      <c r="F434" s="14" t="s">
        <v>658</v>
      </c>
      <c r="G434" s="14" t="s">
        <v>39</v>
      </c>
      <c r="H434" s="14"/>
      <c r="I434" s="14" t="s">
        <v>659</v>
      </c>
      <c r="J434" s="14">
        <v>205.26</v>
      </c>
      <c r="K434" s="13">
        <v>0</v>
      </c>
      <c r="L434" s="13">
        <f>+LISTA[[#This Row],[KILOS]]*5.02</f>
        <v>1030.4051999999999</v>
      </c>
      <c r="M434" s="13">
        <v>0</v>
      </c>
      <c r="N434" s="13">
        <v>0</v>
      </c>
      <c r="O434" s="76">
        <f>+LISTA[[#This Row],[KILOS]]*5.02</f>
        <v>1030.4051999999999</v>
      </c>
      <c r="P434" s="81" t="s">
        <v>272</v>
      </c>
      <c r="Q434" s="123">
        <v>436</v>
      </c>
      <c r="R434" s="123"/>
      <c r="S434" s="123"/>
      <c r="T434" s="13">
        <f>LISTA[[#This Row],[TARIFA OUT ]]+LISTA[[#This Row],[TARIFA IN]]+LISTA[[#This Row],[VALOR FINAL]]</f>
        <v>1030.4051999999999</v>
      </c>
    </row>
    <row r="435" spans="1:20" x14ac:dyDescent="0.2">
      <c r="A435" s="13" t="s">
        <v>14</v>
      </c>
      <c r="B435" s="190">
        <v>44888</v>
      </c>
      <c r="C435" s="202" t="s">
        <v>138</v>
      </c>
      <c r="D435" s="197" t="s">
        <v>676</v>
      </c>
      <c r="E435" s="197" t="s">
        <v>608</v>
      </c>
      <c r="F435" s="197" t="s">
        <v>609</v>
      </c>
      <c r="G435" s="197" t="s">
        <v>39</v>
      </c>
      <c r="H435" s="197"/>
      <c r="I435" s="197" t="s">
        <v>514</v>
      </c>
      <c r="J435" s="197">
        <v>2286.2600000000002</v>
      </c>
      <c r="K435" s="198">
        <v>0</v>
      </c>
      <c r="L435" s="13">
        <v>11385.57</v>
      </c>
      <c r="M435" s="13">
        <v>0</v>
      </c>
      <c r="N435" s="13">
        <v>0</v>
      </c>
      <c r="O435" s="76">
        <v>11385.57</v>
      </c>
      <c r="P435" s="81" t="s">
        <v>272</v>
      </c>
      <c r="Q435" s="123">
        <v>414</v>
      </c>
      <c r="R435" s="123"/>
      <c r="S435" s="123"/>
      <c r="T435" s="13">
        <f>LISTA[[#This Row],[TARIFA OUT ]]+LISTA[[#This Row],[TARIFA IN]]+LISTA[[#This Row],[VALOR FINAL]]</f>
        <v>11385.57</v>
      </c>
    </row>
    <row r="436" spans="1:20" x14ac:dyDescent="0.2">
      <c r="A436" s="13" t="s">
        <v>14</v>
      </c>
      <c r="B436" s="190">
        <v>44888</v>
      </c>
      <c r="C436" s="202" t="s">
        <v>38</v>
      </c>
      <c r="D436" s="14" t="s">
        <v>706</v>
      </c>
      <c r="E436" s="14" t="s">
        <v>305</v>
      </c>
      <c r="F436" s="14" t="s">
        <v>306</v>
      </c>
      <c r="G436" s="14" t="s">
        <v>39</v>
      </c>
      <c r="H436" s="14"/>
      <c r="I436" s="14" t="s">
        <v>307</v>
      </c>
      <c r="J436" s="14">
        <v>3056.96</v>
      </c>
      <c r="K436" s="13">
        <v>0</v>
      </c>
      <c r="L436" s="13">
        <v>15223.66</v>
      </c>
      <c r="M436" s="13">
        <v>0</v>
      </c>
      <c r="N436" s="13">
        <v>0</v>
      </c>
      <c r="O436" s="13">
        <v>15223.66</v>
      </c>
      <c r="P436" s="81" t="s">
        <v>272</v>
      </c>
      <c r="Q436" s="123">
        <v>437</v>
      </c>
      <c r="R436" s="123"/>
      <c r="S436" s="123"/>
      <c r="T436" s="13">
        <f>LISTA[[#This Row],[TARIFA OUT ]]+LISTA[[#This Row],[TARIFA IN]]+LISTA[[#This Row],[VALOR FINAL]]</f>
        <v>15223.66</v>
      </c>
    </row>
    <row r="437" spans="1:20" x14ac:dyDescent="0.2">
      <c r="A437" s="13" t="s">
        <v>14</v>
      </c>
      <c r="B437" s="190">
        <v>44888</v>
      </c>
      <c r="C437" s="202" t="s">
        <v>138</v>
      </c>
      <c r="D437" s="14" t="s">
        <v>692</v>
      </c>
      <c r="E437" s="14" t="s">
        <v>169</v>
      </c>
      <c r="F437" s="14" t="s">
        <v>170</v>
      </c>
      <c r="G437" s="14" t="s">
        <v>39</v>
      </c>
      <c r="H437" s="14"/>
      <c r="I437" s="14" t="s">
        <v>171</v>
      </c>
      <c r="J437" s="14">
        <v>3056.96</v>
      </c>
      <c r="K437" s="13">
        <v>0</v>
      </c>
      <c r="L437" s="13">
        <v>15223.66</v>
      </c>
      <c r="M437" s="13">
        <v>0</v>
      </c>
      <c r="N437" s="13">
        <v>0</v>
      </c>
      <c r="O437" s="76">
        <v>15223.66</v>
      </c>
      <c r="P437" s="81" t="s">
        <v>272</v>
      </c>
      <c r="Q437" s="123">
        <v>423</v>
      </c>
      <c r="R437" s="123"/>
      <c r="S437" s="123"/>
      <c r="T437" s="13">
        <f>LISTA[[#This Row],[TARIFA OUT ]]+LISTA[[#This Row],[TARIFA IN]]+LISTA[[#This Row],[VALOR FINAL]]</f>
        <v>15223.66</v>
      </c>
    </row>
    <row r="438" spans="1:20" x14ac:dyDescent="0.2">
      <c r="A438" s="13" t="s">
        <v>14</v>
      </c>
      <c r="B438" s="190">
        <v>44888</v>
      </c>
      <c r="C438" s="202" t="s">
        <v>38</v>
      </c>
      <c r="D438" s="14" t="s">
        <v>707</v>
      </c>
      <c r="E438" s="14" t="s">
        <v>501</v>
      </c>
      <c r="F438" s="14" t="s">
        <v>502</v>
      </c>
      <c r="G438" s="14" t="s">
        <v>39</v>
      </c>
      <c r="H438" s="14"/>
      <c r="I438" s="14" t="s">
        <v>503</v>
      </c>
      <c r="J438" s="14">
        <v>764.24</v>
      </c>
      <c r="K438" s="13">
        <v>0</v>
      </c>
      <c r="L438" s="13">
        <v>3836.48</v>
      </c>
      <c r="M438" s="13">
        <v>0</v>
      </c>
      <c r="N438" s="13">
        <v>0</v>
      </c>
      <c r="O438" s="76">
        <v>3836.48</v>
      </c>
      <c r="P438" s="81" t="s">
        <v>272</v>
      </c>
      <c r="Q438" s="123">
        <v>438</v>
      </c>
      <c r="R438" s="123"/>
      <c r="S438" s="123"/>
      <c r="T438" s="13">
        <f>LISTA[[#This Row],[TARIFA OUT ]]+LISTA[[#This Row],[TARIFA IN]]+LISTA[[#This Row],[VALOR FINAL]]</f>
        <v>3836.48</v>
      </c>
    </row>
    <row r="439" spans="1:20" x14ac:dyDescent="0.2">
      <c r="A439" s="13" t="s">
        <v>14</v>
      </c>
      <c r="B439" s="190">
        <v>44888</v>
      </c>
      <c r="C439" s="202" t="s">
        <v>148</v>
      </c>
      <c r="D439" s="14" t="s">
        <v>690</v>
      </c>
      <c r="E439" s="14" t="s">
        <v>357</v>
      </c>
      <c r="F439" s="14" t="s">
        <v>123</v>
      </c>
      <c r="G439" s="14" t="s">
        <v>39</v>
      </c>
      <c r="H439" s="14"/>
      <c r="I439" s="14" t="s">
        <v>516</v>
      </c>
      <c r="J439" s="14">
        <v>4776.5</v>
      </c>
      <c r="K439" s="13">
        <v>0</v>
      </c>
      <c r="L439" s="13">
        <v>24216.86</v>
      </c>
      <c r="M439" s="13">
        <v>0</v>
      </c>
      <c r="N439" s="13">
        <v>0</v>
      </c>
      <c r="O439" s="76">
        <v>24216.86</v>
      </c>
      <c r="P439" s="81" t="s">
        <v>272</v>
      </c>
      <c r="Q439" s="123">
        <v>421</v>
      </c>
      <c r="R439" s="123"/>
      <c r="S439" s="123"/>
      <c r="T439" s="13">
        <f>LISTA[[#This Row],[TARIFA OUT ]]+LISTA[[#This Row],[TARIFA IN]]+LISTA[[#This Row],[VALOR FINAL]]</f>
        <v>24216.86</v>
      </c>
    </row>
    <row r="440" spans="1:20" x14ac:dyDescent="0.2">
      <c r="A440" s="13" t="s">
        <v>14</v>
      </c>
      <c r="B440" s="190">
        <v>44888</v>
      </c>
      <c r="C440" s="202" t="s">
        <v>148</v>
      </c>
      <c r="D440" s="14" t="s">
        <v>691</v>
      </c>
      <c r="E440" s="14" t="s">
        <v>357</v>
      </c>
      <c r="F440" s="14" t="s">
        <v>123</v>
      </c>
      <c r="G440" s="14" t="s">
        <v>39</v>
      </c>
      <c r="H440" s="14"/>
      <c r="I440" s="14" t="s">
        <v>516</v>
      </c>
      <c r="J440" s="14">
        <v>1476.8</v>
      </c>
      <c r="K440" s="13">
        <v>0</v>
      </c>
      <c r="L440" s="13">
        <v>7516.91</v>
      </c>
      <c r="M440" s="13">
        <v>0</v>
      </c>
      <c r="N440" s="13">
        <v>0</v>
      </c>
      <c r="O440" s="76">
        <v>7516.91</v>
      </c>
      <c r="P440" s="81" t="s">
        <v>272</v>
      </c>
      <c r="Q440" s="123">
        <v>422</v>
      </c>
      <c r="R440" s="123"/>
      <c r="S440" s="123"/>
      <c r="T440" s="13">
        <f>LISTA[[#This Row],[TARIFA OUT ]]+LISTA[[#This Row],[TARIFA IN]]+LISTA[[#This Row],[VALOR FINAL]]</f>
        <v>7516.91</v>
      </c>
    </row>
    <row r="441" spans="1:20" x14ac:dyDescent="0.2">
      <c r="A441" s="13" t="s">
        <v>14</v>
      </c>
      <c r="B441" s="190">
        <v>44888</v>
      </c>
      <c r="C441" s="202" t="s">
        <v>138</v>
      </c>
      <c r="D441" s="197" t="s">
        <v>677</v>
      </c>
      <c r="E441" s="197" t="s">
        <v>353</v>
      </c>
      <c r="F441" s="197" t="s">
        <v>535</v>
      </c>
      <c r="G441" s="197" t="s">
        <v>97</v>
      </c>
      <c r="H441" s="197"/>
      <c r="I441" s="197" t="s">
        <v>536</v>
      </c>
      <c r="J441" s="197">
        <v>93.4</v>
      </c>
      <c r="K441" s="198">
        <v>0</v>
      </c>
      <c r="L441" s="13">
        <v>1021.38</v>
      </c>
      <c r="M441" s="13">
        <v>2385.11</v>
      </c>
      <c r="N441" s="13">
        <v>0</v>
      </c>
      <c r="O441" s="76">
        <v>3406.49</v>
      </c>
      <c r="P441" s="81" t="s">
        <v>272</v>
      </c>
      <c r="Q441" s="123">
        <v>415</v>
      </c>
      <c r="R441" s="123"/>
      <c r="S441" s="123"/>
      <c r="T441" s="13">
        <f>LISTA[[#This Row],[TARIFA OUT ]]+LISTA[[#This Row],[TARIFA IN]]+LISTA[[#This Row],[VALOR FINAL]]</f>
        <v>3406.49</v>
      </c>
    </row>
    <row r="442" spans="1:20" x14ac:dyDescent="0.2">
      <c r="A442" s="13" t="s">
        <v>14</v>
      </c>
      <c r="B442" s="190">
        <v>44888</v>
      </c>
      <c r="C442" s="202" t="s">
        <v>38</v>
      </c>
      <c r="D442" s="14" t="s">
        <v>708</v>
      </c>
      <c r="E442" s="14" t="s">
        <v>709</v>
      </c>
      <c r="F442" s="14" t="s">
        <v>710</v>
      </c>
      <c r="G442" s="14" t="s">
        <v>39</v>
      </c>
      <c r="H442" s="14"/>
      <c r="I442" s="14" t="s">
        <v>711</v>
      </c>
      <c r="J442" s="14">
        <v>2852.84</v>
      </c>
      <c r="K442" s="13">
        <v>0</v>
      </c>
      <c r="L442" s="13">
        <v>14207.14</v>
      </c>
      <c r="M442" s="13">
        <v>0</v>
      </c>
      <c r="N442" s="13">
        <v>0</v>
      </c>
      <c r="O442" s="76">
        <v>14207.14</v>
      </c>
      <c r="P442" s="81" t="s">
        <v>272</v>
      </c>
      <c r="Q442" s="123">
        <v>439</v>
      </c>
      <c r="R442" s="123"/>
      <c r="S442" s="123"/>
      <c r="T442" s="13">
        <f>LISTA[[#This Row],[TARIFA OUT ]]+LISTA[[#This Row],[TARIFA IN]]+LISTA[[#This Row],[VALOR FINAL]]</f>
        <v>14207.14</v>
      </c>
    </row>
    <row r="443" spans="1:20" x14ac:dyDescent="0.2">
      <c r="A443" s="13" t="s">
        <v>14</v>
      </c>
      <c r="B443" s="190">
        <v>44888</v>
      </c>
      <c r="C443" s="202" t="s">
        <v>38</v>
      </c>
      <c r="D443" s="14" t="s">
        <v>712</v>
      </c>
      <c r="E443" s="14" t="s">
        <v>480</v>
      </c>
      <c r="F443" s="14" t="s">
        <v>481</v>
      </c>
      <c r="G443" s="14" t="s">
        <v>39</v>
      </c>
      <c r="H443" s="14"/>
      <c r="I443" s="14" t="s">
        <v>164</v>
      </c>
      <c r="J443" s="14">
        <v>184.6</v>
      </c>
      <c r="K443" s="13">
        <v>0</v>
      </c>
      <c r="L443" s="13">
        <v>1021.38</v>
      </c>
      <c r="M443" s="13">
        <v>0</v>
      </c>
      <c r="N443" s="13">
        <v>0</v>
      </c>
      <c r="O443" s="76">
        <v>1021.38</v>
      </c>
      <c r="P443" s="81" t="s">
        <v>272</v>
      </c>
      <c r="Q443" s="123">
        <v>440</v>
      </c>
      <c r="R443" s="123"/>
      <c r="S443" s="123"/>
      <c r="T443" s="13">
        <f>LISTA[[#This Row],[TARIFA OUT ]]+LISTA[[#This Row],[TARIFA IN]]+LISTA[[#This Row],[VALOR FINAL]]</f>
        <v>1021.38</v>
      </c>
    </row>
    <row r="444" spans="1:20" x14ac:dyDescent="0.2">
      <c r="A444" s="13" t="s">
        <v>14</v>
      </c>
      <c r="B444" s="190">
        <v>44888</v>
      </c>
      <c r="C444" s="202" t="s">
        <v>138</v>
      </c>
      <c r="D444" s="14" t="s">
        <v>693</v>
      </c>
      <c r="E444" s="14" t="s">
        <v>204</v>
      </c>
      <c r="F444" s="14" t="s">
        <v>205</v>
      </c>
      <c r="G444" s="14" t="s">
        <v>39</v>
      </c>
      <c r="H444" s="14"/>
      <c r="I444" s="14" t="s">
        <v>163</v>
      </c>
      <c r="J444" s="14">
        <v>56.04</v>
      </c>
      <c r="K444" s="13">
        <v>0</v>
      </c>
      <c r="L444" s="13">
        <v>1021.38</v>
      </c>
      <c r="M444" s="13">
        <v>0</v>
      </c>
      <c r="N444" s="13">
        <v>0</v>
      </c>
      <c r="O444" s="76">
        <v>1021.38</v>
      </c>
      <c r="P444" s="81" t="s">
        <v>272</v>
      </c>
      <c r="Q444" s="123">
        <v>424</v>
      </c>
      <c r="R444" s="123"/>
      <c r="S444" s="123"/>
      <c r="T444" s="13">
        <f>LISTA[[#This Row],[TARIFA OUT ]]+LISTA[[#This Row],[TARIFA IN]]+LISTA[[#This Row],[VALOR FINAL]]</f>
        <v>1021.38</v>
      </c>
    </row>
    <row r="445" spans="1:20" x14ac:dyDescent="0.2">
      <c r="A445" s="13" t="s">
        <v>14</v>
      </c>
      <c r="B445" s="190">
        <v>44888</v>
      </c>
      <c r="C445" s="202" t="s">
        <v>148</v>
      </c>
      <c r="D445" s="14" t="s">
        <v>723</v>
      </c>
      <c r="E445" s="14" t="s">
        <v>720</v>
      </c>
      <c r="F445" s="14" t="s">
        <v>123</v>
      </c>
      <c r="G445" s="14" t="s">
        <v>39</v>
      </c>
      <c r="H445" s="14"/>
      <c r="I445" s="14" t="s">
        <v>591</v>
      </c>
      <c r="J445" s="14">
        <v>1540.8</v>
      </c>
      <c r="K445" s="13">
        <v>0</v>
      </c>
      <c r="L445" s="13">
        <v>7673.18</v>
      </c>
      <c r="M445" s="13">
        <v>0</v>
      </c>
      <c r="N445" s="13">
        <v>0</v>
      </c>
      <c r="O445" s="76">
        <v>7673.18</v>
      </c>
      <c r="P445" s="81" t="s">
        <v>272</v>
      </c>
      <c r="Q445" s="123">
        <v>448</v>
      </c>
      <c r="R445" s="123"/>
      <c r="S445" s="123"/>
      <c r="T445" s="13">
        <f>LISTA[[#This Row],[TARIFA OUT ]]+LISTA[[#This Row],[TARIFA IN]]+LISTA[[#This Row],[VALOR FINAL]]</f>
        <v>7673.18</v>
      </c>
    </row>
    <row r="446" spans="1:20" x14ac:dyDescent="0.2">
      <c r="A446" s="13" t="s">
        <v>14</v>
      </c>
      <c r="B446" s="190">
        <v>44888</v>
      </c>
      <c r="C446" s="202" t="s">
        <v>138</v>
      </c>
      <c r="D446" s="14" t="s">
        <v>694</v>
      </c>
      <c r="E446" s="14" t="s">
        <v>204</v>
      </c>
      <c r="F446" s="14" t="s">
        <v>205</v>
      </c>
      <c r="G446" s="14" t="s">
        <v>39</v>
      </c>
      <c r="H446" s="14"/>
      <c r="I446" s="14" t="s">
        <v>163</v>
      </c>
      <c r="J446" s="14">
        <v>259.76</v>
      </c>
      <c r="K446" s="13">
        <v>0</v>
      </c>
      <c r="L446" s="13">
        <v>1304</v>
      </c>
      <c r="M446" s="13">
        <v>0</v>
      </c>
      <c r="N446" s="13">
        <v>0</v>
      </c>
      <c r="O446" s="76">
        <v>1304</v>
      </c>
      <c r="P446" s="81" t="s">
        <v>272</v>
      </c>
      <c r="Q446" s="123">
        <v>425</v>
      </c>
      <c r="R446" s="123"/>
      <c r="S446" s="123"/>
      <c r="T446" s="13">
        <f>LISTA[[#This Row],[TARIFA OUT ]]+LISTA[[#This Row],[TARIFA IN]]+LISTA[[#This Row],[VALOR FINAL]]</f>
        <v>1304</v>
      </c>
    </row>
    <row r="447" spans="1:20" x14ac:dyDescent="0.2">
      <c r="A447" s="13" t="s">
        <v>14</v>
      </c>
      <c r="B447" s="190">
        <v>44888</v>
      </c>
      <c r="C447" s="202" t="s">
        <v>138</v>
      </c>
      <c r="D447" s="197" t="s">
        <v>678</v>
      </c>
      <c r="E447" s="197" t="s">
        <v>679</v>
      </c>
      <c r="F447" s="197" t="s">
        <v>210</v>
      </c>
      <c r="G447" s="197" t="s">
        <v>97</v>
      </c>
      <c r="H447" s="197"/>
      <c r="I447" s="197" t="s">
        <v>680</v>
      </c>
      <c r="J447" s="197">
        <v>1244.3399999999999</v>
      </c>
      <c r="K447" s="198">
        <v>0</v>
      </c>
      <c r="L447" s="13">
        <v>6196.81</v>
      </c>
      <c r="M447" s="13">
        <v>26031.59</v>
      </c>
      <c r="N447" s="13">
        <v>0</v>
      </c>
      <c r="O447" s="76">
        <v>32228.41</v>
      </c>
      <c r="P447" s="81" t="s">
        <v>272</v>
      </c>
      <c r="Q447" s="123">
        <v>416</v>
      </c>
      <c r="R447" s="123"/>
      <c r="S447" s="123"/>
      <c r="T447" s="13">
        <f>LISTA[[#This Row],[TARIFA OUT ]]+LISTA[[#This Row],[TARIFA IN]]+LISTA[[#This Row],[VALOR FINAL]]</f>
        <v>32228.41</v>
      </c>
    </row>
    <row r="448" spans="1:20" x14ac:dyDescent="0.2">
      <c r="A448" s="13" t="s">
        <v>14</v>
      </c>
      <c r="B448" s="190">
        <v>44888</v>
      </c>
      <c r="C448" s="202" t="s">
        <v>138</v>
      </c>
      <c r="D448" s="197" t="s">
        <v>681</v>
      </c>
      <c r="E448" s="197" t="s">
        <v>682</v>
      </c>
      <c r="F448" s="197" t="s">
        <v>683</v>
      </c>
      <c r="G448" s="197" t="s">
        <v>97</v>
      </c>
      <c r="H448" s="197"/>
      <c r="I448" s="197" t="s">
        <v>684</v>
      </c>
      <c r="J448" s="197">
        <v>912</v>
      </c>
      <c r="K448" s="198">
        <v>0</v>
      </c>
      <c r="L448" s="13">
        <v>4578.24</v>
      </c>
      <c r="M448" s="13">
        <v>18504.48</v>
      </c>
      <c r="N448" s="13">
        <v>0</v>
      </c>
      <c r="O448" s="76">
        <v>23082.720000000001</v>
      </c>
      <c r="P448" s="81" t="s">
        <v>272</v>
      </c>
      <c r="Q448" s="123">
        <v>417</v>
      </c>
      <c r="R448" s="123"/>
      <c r="S448" s="123"/>
      <c r="T448" s="13">
        <f>LISTA[[#This Row],[TARIFA OUT ]]+LISTA[[#This Row],[TARIFA IN]]+LISTA[[#This Row],[VALOR FINAL]]</f>
        <v>23082.720000000001</v>
      </c>
    </row>
    <row r="449" spans="1:20" x14ac:dyDescent="0.2">
      <c r="A449" s="13" t="s">
        <v>14</v>
      </c>
      <c r="B449" s="190">
        <v>44888</v>
      </c>
      <c r="C449" s="202" t="s">
        <v>138</v>
      </c>
      <c r="D449" s="14" t="s">
        <v>695</v>
      </c>
      <c r="E449" s="14" t="s">
        <v>204</v>
      </c>
      <c r="F449" s="14" t="s">
        <v>205</v>
      </c>
      <c r="G449" s="14" t="s">
        <v>39</v>
      </c>
      <c r="H449" s="14"/>
      <c r="I449" s="14" t="s">
        <v>163</v>
      </c>
      <c r="J449" s="14">
        <v>413.84</v>
      </c>
      <c r="K449" s="13">
        <v>0</v>
      </c>
      <c r="L449" s="13">
        <v>2077.48</v>
      </c>
      <c r="M449" s="13">
        <v>0</v>
      </c>
      <c r="N449" s="13">
        <v>0</v>
      </c>
      <c r="O449" s="76">
        <v>2077.48</v>
      </c>
      <c r="P449" s="81" t="s">
        <v>272</v>
      </c>
      <c r="Q449" s="123">
        <v>426</v>
      </c>
      <c r="R449" s="123"/>
      <c r="S449" s="123"/>
      <c r="T449" s="13">
        <f>LISTA[[#This Row],[TARIFA OUT ]]+LISTA[[#This Row],[TARIFA IN]]+LISTA[[#This Row],[VALOR FINAL]]</f>
        <v>2077.48</v>
      </c>
    </row>
    <row r="450" spans="1:20" x14ac:dyDescent="0.2">
      <c r="A450" s="13" t="s">
        <v>14</v>
      </c>
      <c r="B450" s="190">
        <v>44888</v>
      </c>
      <c r="C450" s="202" t="s">
        <v>38</v>
      </c>
      <c r="D450" s="14" t="s">
        <v>713</v>
      </c>
      <c r="E450" s="14" t="s">
        <v>714</v>
      </c>
      <c r="F450" s="14" t="s">
        <v>715</v>
      </c>
      <c r="G450" s="14" t="s">
        <v>39</v>
      </c>
      <c r="H450" s="14"/>
      <c r="I450" s="14" t="s">
        <v>415</v>
      </c>
      <c r="J450" s="14">
        <v>2410.9</v>
      </c>
      <c r="K450" s="13">
        <v>0</v>
      </c>
      <c r="L450" s="13">
        <v>12006.28</v>
      </c>
      <c r="M450" s="13">
        <v>0</v>
      </c>
      <c r="N450" s="13">
        <v>0</v>
      </c>
      <c r="O450" s="76">
        <v>12006.28</v>
      </c>
      <c r="P450" s="81" t="s">
        <v>272</v>
      </c>
      <c r="Q450" s="123">
        <v>441</v>
      </c>
      <c r="R450" s="123"/>
      <c r="S450" s="123"/>
      <c r="T450" s="13">
        <f>LISTA[[#This Row],[TARIFA OUT ]]+LISTA[[#This Row],[TARIFA IN]]+LISTA[[#This Row],[VALOR FINAL]]</f>
        <v>12006.28</v>
      </c>
    </row>
    <row r="451" spans="1:20" x14ac:dyDescent="0.2">
      <c r="A451" s="13" t="s">
        <v>14</v>
      </c>
      <c r="B451" s="190">
        <v>44888</v>
      </c>
      <c r="C451" s="202" t="s">
        <v>38</v>
      </c>
      <c r="D451" s="14" t="s">
        <v>716</v>
      </c>
      <c r="E451" s="14" t="s">
        <v>657</v>
      </c>
      <c r="F451" s="14" t="s">
        <v>658</v>
      </c>
      <c r="G451" s="14" t="s">
        <v>39</v>
      </c>
      <c r="H451" s="14"/>
      <c r="I451" s="14" t="s">
        <v>659</v>
      </c>
      <c r="J451" s="14">
        <v>391.96</v>
      </c>
      <c r="K451" s="13">
        <v>0</v>
      </c>
      <c r="L451" s="13">
        <v>1967.64</v>
      </c>
      <c r="M451" s="13">
        <v>0</v>
      </c>
      <c r="N451" s="13">
        <v>0</v>
      </c>
      <c r="O451" s="76">
        <v>1967.64</v>
      </c>
      <c r="P451" s="81" t="s">
        <v>272</v>
      </c>
      <c r="Q451" s="123">
        <v>442</v>
      </c>
      <c r="R451" s="123"/>
      <c r="S451" s="123"/>
      <c r="T451" s="13">
        <f>LISTA[[#This Row],[TARIFA OUT ]]+LISTA[[#This Row],[TARIFA IN]]+LISTA[[#This Row],[VALOR FINAL]]</f>
        <v>1967.64</v>
      </c>
    </row>
    <row r="452" spans="1:20" x14ac:dyDescent="0.2">
      <c r="A452" s="13" t="s">
        <v>14</v>
      </c>
      <c r="B452" s="190">
        <v>44888</v>
      </c>
      <c r="C452" s="202" t="s">
        <v>138</v>
      </c>
      <c r="D452" s="197" t="s">
        <v>685</v>
      </c>
      <c r="E452" s="197" t="s">
        <v>686</v>
      </c>
      <c r="F452" s="197" t="s">
        <v>162</v>
      </c>
      <c r="G452" s="197" t="s">
        <v>97</v>
      </c>
      <c r="H452" s="197"/>
      <c r="I452" s="197" t="s">
        <v>545</v>
      </c>
      <c r="J452" s="197">
        <v>383.35</v>
      </c>
      <c r="K452" s="198">
        <v>0</v>
      </c>
      <c r="L452" s="13">
        <v>1924.42</v>
      </c>
      <c r="M452" s="13">
        <v>8441.3700000000008</v>
      </c>
      <c r="N452" s="13">
        <v>0</v>
      </c>
      <c r="O452" s="76">
        <v>10365.780000000001</v>
      </c>
      <c r="P452" s="81" t="s">
        <v>272</v>
      </c>
      <c r="Q452" s="123">
        <v>418</v>
      </c>
      <c r="R452" s="123"/>
      <c r="S452" s="123"/>
      <c r="T452" s="13">
        <f>LISTA[[#This Row],[TARIFA OUT ]]+LISTA[[#This Row],[TARIFA IN]]+LISTA[[#This Row],[VALOR FINAL]]</f>
        <v>10365.780000000001</v>
      </c>
    </row>
    <row r="453" spans="1:20" x14ac:dyDescent="0.2">
      <c r="A453" s="13" t="s">
        <v>14</v>
      </c>
      <c r="B453" s="190">
        <v>44888</v>
      </c>
      <c r="C453" s="202" t="s">
        <v>138</v>
      </c>
      <c r="D453" s="197" t="s">
        <v>687</v>
      </c>
      <c r="E453" s="197" t="s">
        <v>688</v>
      </c>
      <c r="F453" s="197" t="s">
        <v>373</v>
      </c>
      <c r="G453" s="197" t="s">
        <v>97</v>
      </c>
      <c r="H453" s="197"/>
      <c r="I453" s="197" t="s">
        <v>176</v>
      </c>
      <c r="J453" s="197">
        <v>1804.8</v>
      </c>
      <c r="K453" s="198">
        <v>0</v>
      </c>
      <c r="L453" s="13">
        <v>8987.9</v>
      </c>
      <c r="M453" s="13">
        <v>40337.279999999999</v>
      </c>
      <c r="N453" s="13">
        <v>0</v>
      </c>
      <c r="O453" s="76">
        <v>49325.18</v>
      </c>
      <c r="P453" s="81" t="s">
        <v>272</v>
      </c>
      <c r="Q453" s="123">
        <v>419</v>
      </c>
      <c r="R453" s="123"/>
      <c r="S453" s="123"/>
      <c r="T453" s="13">
        <f>LISTA[[#This Row],[TARIFA OUT ]]+LISTA[[#This Row],[TARIFA IN]]+LISTA[[#This Row],[VALOR FINAL]]</f>
        <v>49325.18</v>
      </c>
    </row>
    <row r="454" spans="1:20" x14ac:dyDescent="0.2">
      <c r="A454" s="13" t="s">
        <v>14</v>
      </c>
      <c r="B454" s="190">
        <v>44888</v>
      </c>
      <c r="C454" s="202" t="s">
        <v>138</v>
      </c>
      <c r="D454" s="197" t="s">
        <v>689</v>
      </c>
      <c r="E454" s="197" t="s">
        <v>686</v>
      </c>
      <c r="F454" s="197" t="s">
        <v>162</v>
      </c>
      <c r="G454" s="197" t="s">
        <v>97</v>
      </c>
      <c r="H454" s="197"/>
      <c r="I454" s="197" t="s">
        <v>545</v>
      </c>
      <c r="J454" s="197">
        <v>556.79999999999995</v>
      </c>
      <c r="K454" s="198">
        <v>0</v>
      </c>
      <c r="L454" s="13">
        <v>2795.14</v>
      </c>
      <c r="M454" s="13">
        <v>12260.74</v>
      </c>
      <c r="N454" s="13">
        <v>0</v>
      </c>
      <c r="O454" s="76">
        <v>15055.87</v>
      </c>
      <c r="P454" s="81" t="s">
        <v>272</v>
      </c>
      <c r="Q454" s="123">
        <v>420</v>
      </c>
      <c r="R454" s="123"/>
      <c r="S454" s="123"/>
      <c r="T454" s="13">
        <f>LISTA[[#This Row],[TARIFA OUT ]]+LISTA[[#This Row],[TARIFA IN]]+LISTA[[#This Row],[VALOR FINAL]]</f>
        <v>15055.87</v>
      </c>
    </row>
    <row r="455" spans="1:20" x14ac:dyDescent="0.2">
      <c r="A455" s="13" t="s">
        <v>14</v>
      </c>
      <c r="B455" s="190">
        <v>44888</v>
      </c>
      <c r="C455" s="202" t="s">
        <v>38</v>
      </c>
      <c r="D455" s="14" t="s">
        <v>717</v>
      </c>
      <c r="E455" s="14" t="s">
        <v>305</v>
      </c>
      <c r="F455" s="14" t="s">
        <v>306</v>
      </c>
      <c r="G455" s="14" t="s">
        <v>39</v>
      </c>
      <c r="H455" s="14"/>
      <c r="I455" s="14" t="s">
        <v>307</v>
      </c>
      <c r="J455" s="14">
        <v>774.9</v>
      </c>
      <c r="K455" s="13">
        <v>0</v>
      </c>
      <c r="L455" s="13">
        <v>3890</v>
      </c>
      <c r="M455" s="13">
        <v>0</v>
      </c>
      <c r="N455" s="13">
        <v>0</v>
      </c>
      <c r="O455" s="76">
        <v>3890</v>
      </c>
      <c r="P455" s="81" t="s">
        <v>272</v>
      </c>
      <c r="Q455" s="123">
        <v>443</v>
      </c>
      <c r="R455" s="123"/>
      <c r="S455" s="123"/>
      <c r="T455" s="13">
        <f>LISTA[[#This Row],[TARIFA OUT ]]+LISTA[[#This Row],[TARIFA IN]]+LISTA[[#This Row],[VALOR FINAL]]</f>
        <v>3890</v>
      </c>
    </row>
    <row r="456" spans="1:20" x14ac:dyDescent="0.2">
      <c r="A456" s="201" t="s">
        <v>76</v>
      </c>
      <c r="B456" s="190">
        <v>44889</v>
      </c>
      <c r="C456" s="14" t="s">
        <v>77</v>
      </c>
      <c r="D456" s="14">
        <v>1610</v>
      </c>
      <c r="E456" s="14" t="s">
        <v>732</v>
      </c>
      <c r="F456" s="14" t="s">
        <v>39</v>
      </c>
      <c r="G456" s="14" t="s">
        <v>39</v>
      </c>
      <c r="H456" s="14"/>
      <c r="I456" s="14" t="s">
        <v>733</v>
      </c>
      <c r="J456" s="14">
        <v>13670</v>
      </c>
      <c r="K456" s="13">
        <v>69585.600000000006</v>
      </c>
      <c r="L456" s="13">
        <v>0</v>
      </c>
      <c r="M456" s="13">
        <v>0</v>
      </c>
      <c r="N456" s="13">
        <v>0</v>
      </c>
      <c r="O456" s="13">
        <v>69585.600000000006</v>
      </c>
      <c r="P456" s="81" t="s">
        <v>272</v>
      </c>
      <c r="Q456" s="123">
        <v>456</v>
      </c>
      <c r="R456" s="123"/>
      <c r="S456" s="123"/>
      <c r="T456" s="13">
        <f>LISTA[[#This Row],[TARIFA OUT ]]+LISTA[[#This Row],[TARIFA IN]]+LISTA[[#This Row],[VALOR FINAL]]</f>
        <v>69585.600000000006</v>
      </c>
    </row>
    <row r="457" spans="1:20" x14ac:dyDescent="0.2">
      <c r="A457" s="201" t="s">
        <v>82</v>
      </c>
      <c r="B457" s="190">
        <v>44889</v>
      </c>
      <c r="C457" s="14" t="s">
        <v>40</v>
      </c>
      <c r="D457" s="14">
        <v>6763</v>
      </c>
      <c r="E457" s="14" t="s">
        <v>146</v>
      </c>
      <c r="F457" s="14" t="s">
        <v>39</v>
      </c>
      <c r="G457" s="14" t="s">
        <v>39</v>
      </c>
      <c r="H457" s="14"/>
      <c r="I457" s="14" t="s">
        <v>45</v>
      </c>
      <c r="J457" s="14">
        <v>26855</v>
      </c>
      <c r="K457" s="13">
        <v>43077.1</v>
      </c>
      <c r="L457" s="13">
        <v>0</v>
      </c>
      <c r="M457" s="13">
        <v>0</v>
      </c>
      <c r="N457" s="13">
        <v>0</v>
      </c>
      <c r="O457" s="76">
        <v>43077.1</v>
      </c>
      <c r="P457" s="81" t="s">
        <v>272</v>
      </c>
      <c r="Q457" s="123">
        <v>457</v>
      </c>
      <c r="R457" s="123"/>
      <c r="S457" s="123"/>
      <c r="T457" s="13">
        <f>LISTA[[#This Row],[TARIFA OUT ]]+LISTA[[#This Row],[TARIFA IN]]+LISTA[[#This Row],[VALOR FINAL]]</f>
        <v>43077.1</v>
      </c>
    </row>
    <row r="458" spans="1:20" x14ac:dyDescent="0.2">
      <c r="A458" s="201" t="s">
        <v>82</v>
      </c>
      <c r="B458" s="190">
        <v>44889</v>
      </c>
      <c r="C458" s="14" t="s">
        <v>77</v>
      </c>
      <c r="D458" s="14">
        <v>22227</v>
      </c>
      <c r="E458" s="14" t="s">
        <v>172</v>
      </c>
      <c r="F458" s="14" t="s">
        <v>39</v>
      </c>
      <c r="G458" s="14" t="s">
        <v>39</v>
      </c>
      <c r="H458" s="14"/>
      <c r="I458" s="14" t="s">
        <v>45</v>
      </c>
      <c r="J458" s="14">
        <v>25418</v>
      </c>
      <c r="K458" s="13">
        <v>43077.1</v>
      </c>
      <c r="L458" s="13">
        <v>0</v>
      </c>
      <c r="M458" s="13">
        <v>0</v>
      </c>
      <c r="N458" s="13">
        <v>0</v>
      </c>
      <c r="O458" s="76">
        <v>43077.1</v>
      </c>
      <c r="P458" s="81" t="s">
        <v>272</v>
      </c>
      <c r="Q458" s="123">
        <v>458</v>
      </c>
      <c r="R458" s="123"/>
      <c r="S458" s="123"/>
      <c r="T458" s="13">
        <f>LISTA[[#This Row],[TARIFA OUT ]]+LISTA[[#This Row],[TARIFA IN]]+LISTA[[#This Row],[VALOR FINAL]]</f>
        <v>43077.1</v>
      </c>
    </row>
    <row r="459" spans="1:20" x14ac:dyDescent="0.2">
      <c r="A459" s="13" t="s">
        <v>14</v>
      </c>
      <c r="B459" s="190">
        <v>44888</v>
      </c>
      <c r="C459" s="202" t="s">
        <v>148</v>
      </c>
      <c r="D459" s="14" t="s">
        <v>724</v>
      </c>
      <c r="E459" s="14" t="s">
        <v>305</v>
      </c>
      <c r="F459" s="14" t="s">
        <v>123</v>
      </c>
      <c r="G459" s="14" t="s">
        <v>39</v>
      </c>
      <c r="H459" s="14"/>
      <c r="I459" s="14" t="s">
        <v>591</v>
      </c>
      <c r="J459" s="14">
        <v>57.9</v>
      </c>
      <c r="K459" s="13">
        <v>0</v>
      </c>
      <c r="L459" s="13">
        <v>1021.38</v>
      </c>
      <c r="M459" s="13">
        <v>0</v>
      </c>
      <c r="N459" s="13">
        <v>0</v>
      </c>
      <c r="O459" s="76">
        <v>1021.38</v>
      </c>
      <c r="P459" s="81" t="s">
        <v>272</v>
      </c>
      <c r="Q459" s="123">
        <v>449</v>
      </c>
      <c r="R459" s="123"/>
      <c r="S459" s="123"/>
      <c r="T459" s="13">
        <f>LISTA[[#This Row],[TARIFA OUT ]]+LISTA[[#This Row],[TARIFA IN]]+LISTA[[#This Row],[VALOR FINAL]]</f>
        <v>1021.38</v>
      </c>
    </row>
    <row r="460" spans="1:20" x14ac:dyDescent="0.2">
      <c r="A460" s="13" t="s">
        <v>14</v>
      </c>
      <c r="B460" s="190">
        <v>44888</v>
      </c>
      <c r="C460" s="202" t="s">
        <v>158</v>
      </c>
      <c r="D460" s="14" t="s">
        <v>725</v>
      </c>
      <c r="E460" s="14" t="s">
        <v>726</v>
      </c>
      <c r="F460" s="14" t="s">
        <v>123</v>
      </c>
      <c r="G460" s="14" t="s">
        <v>39</v>
      </c>
      <c r="H460" s="14"/>
      <c r="I460" s="14" t="s">
        <v>591</v>
      </c>
      <c r="J460" s="14">
        <v>2671</v>
      </c>
      <c r="K460" s="13"/>
      <c r="L460" s="13">
        <f>LISTA[[#This Row],[KILOS]]*4.98</f>
        <v>13301.580000000002</v>
      </c>
      <c r="M460" s="13">
        <v>0</v>
      </c>
      <c r="N460" s="13">
        <v>0</v>
      </c>
      <c r="O460" s="13">
        <f>LISTA[[#This Row],[KILOS]]*4.98</f>
        <v>13301.580000000002</v>
      </c>
      <c r="P460" s="81" t="s">
        <v>272</v>
      </c>
      <c r="Q460" s="123">
        <v>450</v>
      </c>
      <c r="R460" s="123"/>
      <c r="S460" s="123"/>
      <c r="T460" s="13">
        <f>LISTA[[#This Row],[TARIFA OUT ]]+LISTA[[#This Row],[TARIFA IN]]+LISTA[[#This Row],[VALOR FINAL]]</f>
        <v>13301.580000000002</v>
      </c>
    </row>
    <row r="461" spans="1:20" x14ac:dyDescent="0.2">
      <c r="A461" s="13" t="s">
        <v>14</v>
      </c>
      <c r="B461" s="190">
        <v>44888</v>
      </c>
      <c r="C461" s="202" t="s">
        <v>158</v>
      </c>
      <c r="D461" s="14" t="s">
        <v>727</v>
      </c>
      <c r="E461" s="14" t="s">
        <v>726</v>
      </c>
      <c r="F461" s="14" t="s">
        <v>123</v>
      </c>
      <c r="G461" s="14" t="s">
        <v>39</v>
      </c>
      <c r="H461" s="14"/>
      <c r="I461" s="14" t="s">
        <v>591</v>
      </c>
      <c r="J461" s="14">
        <v>554.4</v>
      </c>
      <c r="K461" s="13"/>
      <c r="L461" s="13">
        <f>LISTA[[#This Row],[KILOS]]*5.02</f>
        <v>2783.0879999999997</v>
      </c>
      <c r="M461" s="13">
        <v>0</v>
      </c>
      <c r="N461" s="13">
        <v>0</v>
      </c>
      <c r="O461" s="13">
        <f>LISTA[[#This Row],[KILOS]]*5.02</f>
        <v>2783.0879999999997</v>
      </c>
      <c r="P461" s="81" t="s">
        <v>272</v>
      </c>
      <c r="Q461" s="123">
        <v>451</v>
      </c>
      <c r="R461" s="123"/>
      <c r="S461" s="123"/>
      <c r="T461" s="13">
        <f>LISTA[[#This Row],[TARIFA OUT ]]+LISTA[[#This Row],[TARIFA IN]]+LISTA[[#This Row],[VALOR FINAL]]</f>
        <v>2783.0879999999997</v>
      </c>
    </row>
    <row r="462" spans="1:20" x14ac:dyDescent="0.2">
      <c r="A462" s="13" t="s">
        <v>14</v>
      </c>
      <c r="B462" s="190">
        <v>44889</v>
      </c>
      <c r="C462" s="202" t="s">
        <v>38</v>
      </c>
      <c r="D462" s="14" t="s">
        <v>743</v>
      </c>
      <c r="E462" s="14" t="s">
        <v>643</v>
      </c>
      <c r="F462" s="14" t="s">
        <v>206</v>
      </c>
      <c r="G462" s="14" t="s">
        <v>97</v>
      </c>
      <c r="H462" s="14"/>
      <c r="I462" s="14" t="s">
        <v>644</v>
      </c>
      <c r="J462" s="14">
        <v>51</v>
      </c>
      <c r="K462" s="198">
        <v>0</v>
      </c>
      <c r="L462" s="198">
        <v>1021.38</v>
      </c>
      <c r="M462" s="198">
        <v>1804.63</v>
      </c>
      <c r="N462" s="13">
        <v>0</v>
      </c>
      <c r="O462" s="76">
        <v>2826.01</v>
      </c>
      <c r="P462" s="81" t="s">
        <v>272</v>
      </c>
      <c r="Q462" s="123">
        <v>463</v>
      </c>
      <c r="R462" s="123"/>
      <c r="S462" s="123"/>
      <c r="T462" s="13">
        <f>LISTA[[#This Row],[TARIFA OUT ]]+LISTA[[#This Row],[TARIFA IN]]+LISTA[[#This Row],[VALOR FINAL]]</f>
        <v>2826.01</v>
      </c>
    </row>
    <row r="463" spans="1:20" x14ac:dyDescent="0.2">
      <c r="A463" s="13" t="s">
        <v>14</v>
      </c>
      <c r="B463" s="190">
        <v>44889</v>
      </c>
      <c r="C463" s="202" t="s">
        <v>89</v>
      </c>
      <c r="D463" s="14" t="s">
        <v>771</v>
      </c>
      <c r="E463" s="14" t="s">
        <v>290</v>
      </c>
      <c r="F463" s="14" t="s">
        <v>291</v>
      </c>
      <c r="G463" s="14" t="s">
        <v>39</v>
      </c>
      <c r="H463" s="14"/>
      <c r="I463" s="14" t="s">
        <v>292</v>
      </c>
      <c r="J463" s="14">
        <v>276.89999999999998</v>
      </c>
      <c r="K463" s="13">
        <v>0</v>
      </c>
      <c r="L463" s="13">
        <v>1390.04</v>
      </c>
      <c r="M463" s="13">
        <v>0</v>
      </c>
      <c r="N463" s="13">
        <v>0</v>
      </c>
      <c r="O463" s="76">
        <v>1390.04</v>
      </c>
      <c r="P463" s="81" t="s">
        <v>272</v>
      </c>
      <c r="Q463" s="123">
        <v>475</v>
      </c>
      <c r="R463" s="123"/>
      <c r="S463" s="123"/>
      <c r="T463" s="13">
        <f>LISTA[[#This Row],[TARIFA OUT ]]+LISTA[[#This Row],[TARIFA IN]]+LISTA[[#This Row],[VALOR FINAL]]</f>
        <v>1390.04</v>
      </c>
    </row>
    <row r="464" spans="1:20" x14ac:dyDescent="0.2">
      <c r="A464" s="13" t="s">
        <v>14</v>
      </c>
      <c r="B464" s="190">
        <v>44889</v>
      </c>
      <c r="C464" s="202" t="s">
        <v>89</v>
      </c>
      <c r="D464" s="14" t="s">
        <v>772</v>
      </c>
      <c r="E464" s="14" t="s">
        <v>196</v>
      </c>
      <c r="F464" s="14" t="s">
        <v>197</v>
      </c>
      <c r="G464" s="14" t="s">
        <v>39</v>
      </c>
      <c r="H464" s="14"/>
      <c r="I464" s="14" t="s">
        <v>165</v>
      </c>
      <c r="J464" s="14">
        <v>184.6</v>
      </c>
      <c r="K464" s="13">
        <v>0</v>
      </c>
      <c r="L464" s="13">
        <v>1021.38</v>
      </c>
      <c r="M464" s="13">
        <v>0</v>
      </c>
      <c r="N464" s="13">
        <v>0</v>
      </c>
      <c r="O464" s="76">
        <v>1021.38</v>
      </c>
      <c r="P464" s="81" t="s">
        <v>272</v>
      </c>
      <c r="Q464" s="123">
        <v>476</v>
      </c>
      <c r="R464" s="123"/>
      <c r="S464" s="123"/>
      <c r="T464" s="13">
        <f>LISTA[[#This Row],[TARIFA OUT ]]+LISTA[[#This Row],[TARIFA IN]]+LISTA[[#This Row],[VALOR FINAL]]</f>
        <v>1021.38</v>
      </c>
    </row>
    <row r="465" spans="1:20" x14ac:dyDescent="0.2">
      <c r="A465" s="13" t="s">
        <v>14</v>
      </c>
      <c r="B465" s="190">
        <v>44889</v>
      </c>
      <c r="C465" s="202" t="s">
        <v>89</v>
      </c>
      <c r="D465" s="14" t="s">
        <v>773</v>
      </c>
      <c r="E465" s="14" t="s">
        <v>189</v>
      </c>
      <c r="F465" s="14" t="s">
        <v>190</v>
      </c>
      <c r="G465" s="14" t="s">
        <v>39</v>
      </c>
      <c r="H465" s="14"/>
      <c r="I465" s="14" t="s">
        <v>191</v>
      </c>
      <c r="J465" s="14">
        <v>276.89999999999998</v>
      </c>
      <c r="K465" s="13">
        <v>0</v>
      </c>
      <c r="L465" s="13">
        <v>1390.04</v>
      </c>
      <c r="M465" s="13">
        <v>0</v>
      </c>
      <c r="N465" s="13">
        <v>0</v>
      </c>
      <c r="O465" s="76">
        <v>1390.04</v>
      </c>
      <c r="P465" s="81" t="s">
        <v>272</v>
      </c>
      <c r="Q465" s="123">
        <v>477</v>
      </c>
      <c r="R465" s="123"/>
      <c r="S465" s="123"/>
      <c r="T465" s="13">
        <f>LISTA[[#This Row],[TARIFA OUT ]]+LISTA[[#This Row],[TARIFA IN]]+LISTA[[#This Row],[VALOR FINAL]]</f>
        <v>1390.04</v>
      </c>
    </row>
    <row r="466" spans="1:20" x14ac:dyDescent="0.2">
      <c r="A466" s="13" t="s">
        <v>14</v>
      </c>
      <c r="B466" s="190">
        <v>44889</v>
      </c>
      <c r="C466" s="202" t="s">
        <v>89</v>
      </c>
      <c r="D466" s="14" t="s">
        <v>774</v>
      </c>
      <c r="E466" s="14" t="s">
        <v>383</v>
      </c>
      <c r="F466" s="14" t="s">
        <v>384</v>
      </c>
      <c r="G466" s="14" t="s">
        <v>39</v>
      </c>
      <c r="H466" s="14"/>
      <c r="I466" s="14" t="s">
        <v>344</v>
      </c>
      <c r="J466" s="14">
        <v>738.4</v>
      </c>
      <c r="K466" s="13">
        <v>0</v>
      </c>
      <c r="L466" s="13">
        <v>3706.77</v>
      </c>
      <c r="M466" s="13">
        <v>0</v>
      </c>
      <c r="N466" s="13">
        <v>0</v>
      </c>
      <c r="O466" s="76">
        <v>3706.77</v>
      </c>
      <c r="P466" s="81" t="s">
        <v>272</v>
      </c>
      <c r="Q466" s="123">
        <v>478</v>
      </c>
      <c r="R466" s="123"/>
      <c r="S466" s="123"/>
      <c r="T466" s="13">
        <f>LISTA[[#This Row],[TARIFA OUT ]]+LISTA[[#This Row],[TARIFA IN]]+LISTA[[#This Row],[VALOR FINAL]]</f>
        <v>3706.77</v>
      </c>
    </row>
    <row r="467" spans="1:20" x14ac:dyDescent="0.2">
      <c r="A467" s="13" t="s">
        <v>14</v>
      </c>
      <c r="B467" s="190">
        <v>44889</v>
      </c>
      <c r="C467" s="202" t="s">
        <v>38</v>
      </c>
      <c r="D467" s="14" t="s">
        <v>744</v>
      </c>
      <c r="E467" s="14" t="s">
        <v>745</v>
      </c>
      <c r="F467" s="14" t="s">
        <v>746</v>
      </c>
      <c r="G467" s="14" t="s">
        <v>97</v>
      </c>
      <c r="H467" s="14"/>
      <c r="I467" s="14" t="s">
        <v>747</v>
      </c>
      <c r="J467" s="14">
        <v>196.6</v>
      </c>
      <c r="K467" s="13">
        <v>0</v>
      </c>
      <c r="L467" s="13">
        <v>1021.38</v>
      </c>
      <c r="M467" s="13">
        <v>4226.8999999999996</v>
      </c>
      <c r="N467" s="13">
        <v>0</v>
      </c>
      <c r="O467" s="76">
        <v>5248.28</v>
      </c>
      <c r="P467" s="81" t="s">
        <v>272</v>
      </c>
      <c r="Q467" s="123">
        <v>464</v>
      </c>
      <c r="R467" s="123"/>
      <c r="S467" s="123"/>
      <c r="T467" s="13">
        <f>LISTA[[#This Row],[TARIFA OUT ]]+LISTA[[#This Row],[TARIFA IN]]+LISTA[[#This Row],[VALOR FINAL]]</f>
        <v>5248.28</v>
      </c>
    </row>
    <row r="468" spans="1:20" x14ac:dyDescent="0.2">
      <c r="A468" s="13" t="s">
        <v>14</v>
      </c>
      <c r="B468" s="190">
        <v>44889</v>
      </c>
      <c r="C468" s="202" t="s">
        <v>158</v>
      </c>
      <c r="D468" s="14" t="s">
        <v>777</v>
      </c>
      <c r="E468" s="14" t="s">
        <v>311</v>
      </c>
      <c r="F468" s="14" t="s">
        <v>123</v>
      </c>
      <c r="G468" s="14" t="s">
        <v>39</v>
      </c>
      <c r="H468" s="14"/>
      <c r="I468" s="14" t="s">
        <v>312</v>
      </c>
      <c r="J468" s="14">
        <v>196.6</v>
      </c>
      <c r="K468" s="13">
        <v>0</v>
      </c>
      <c r="L468" s="13">
        <v>1036.48</v>
      </c>
      <c r="M468" s="13">
        <v>0</v>
      </c>
      <c r="N468" s="13">
        <v>0</v>
      </c>
      <c r="O468" s="76">
        <v>1036.48</v>
      </c>
      <c r="P468" s="81" t="s">
        <v>272</v>
      </c>
      <c r="Q468" s="123">
        <v>481</v>
      </c>
      <c r="R468" s="123"/>
      <c r="S468" s="123"/>
      <c r="T468" s="13">
        <f>LISTA[[#This Row],[TARIFA OUT ]]+LISTA[[#This Row],[TARIFA IN]]+LISTA[[#This Row],[VALOR FINAL]]</f>
        <v>1036.48</v>
      </c>
    </row>
    <row r="469" spans="1:20" x14ac:dyDescent="0.2">
      <c r="A469" s="13" t="s">
        <v>14</v>
      </c>
      <c r="B469" s="190">
        <v>44889</v>
      </c>
      <c r="C469" s="202" t="s">
        <v>38</v>
      </c>
      <c r="D469" s="14" t="s">
        <v>748</v>
      </c>
      <c r="E469" s="14" t="s">
        <v>749</v>
      </c>
      <c r="F469" s="14" t="s">
        <v>210</v>
      </c>
      <c r="G469" s="14" t="s">
        <v>97</v>
      </c>
      <c r="H469" s="14"/>
      <c r="I469" s="14" t="s">
        <v>750</v>
      </c>
      <c r="J469" s="14">
        <v>190.2</v>
      </c>
      <c r="K469" s="13">
        <v>0</v>
      </c>
      <c r="L469" s="13">
        <v>1021.38</v>
      </c>
      <c r="M469" s="13">
        <v>3998</v>
      </c>
      <c r="N469" s="13">
        <v>0</v>
      </c>
      <c r="O469" s="76">
        <v>5019.38</v>
      </c>
      <c r="P469" s="81" t="s">
        <v>272</v>
      </c>
      <c r="Q469" s="123">
        <v>465</v>
      </c>
      <c r="R469" s="123"/>
      <c r="S469" s="123"/>
      <c r="T469" s="13">
        <f>LISTA[[#This Row],[TARIFA OUT ]]+LISTA[[#This Row],[TARIFA IN]]+LISTA[[#This Row],[VALOR FINAL]]</f>
        <v>5019.38</v>
      </c>
    </row>
    <row r="470" spans="1:20" x14ac:dyDescent="0.2">
      <c r="A470" s="13" t="s">
        <v>14</v>
      </c>
      <c r="B470" s="190">
        <v>44889</v>
      </c>
      <c r="C470" s="202" t="s">
        <v>38</v>
      </c>
      <c r="D470" s="14" t="s">
        <v>751</v>
      </c>
      <c r="E470" s="14" t="s">
        <v>643</v>
      </c>
      <c r="F470" s="14" t="s">
        <v>206</v>
      </c>
      <c r="G470" s="14" t="s">
        <v>97</v>
      </c>
      <c r="H470" s="14"/>
      <c r="I470" s="14" t="s">
        <v>644</v>
      </c>
      <c r="J470" s="14">
        <v>589.79</v>
      </c>
      <c r="K470" s="13">
        <v>0</v>
      </c>
      <c r="L470" s="13">
        <v>2960.75</v>
      </c>
      <c r="M470" s="13">
        <v>10002.84</v>
      </c>
      <c r="N470" s="13">
        <v>0</v>
      </c>
      <c r="O470" s="76">
        <v>12963.58</v>
      </c>
      <c r="P470" s="81" t="s">
        <v>272</v>
      </c>
      <c r="Q470" s="123">
        <v>466</v>
      </c>
      <c r="R470" s="123"/>
      <c r="S470" s="123"/>
      <c r="T470" s="13">
        <f>LISTA[[#This Row],[TARIFA OUT ]]+LISTA[[#This Row],[TARIFA IN]]+LISTA[[#This Row],[VALOR FINAL]]</f>
        <v>12963.58</v>
      </c>
    </row>
    <row r="471" spans="1:20" x14ac:dyDescent="0.2">
      <c r="A471" s="13" t="s">
        <v>14</v>
      </c>
      <c r="B471" s="190">
        <v>44889</v>
      </c>
      <c r="C471" s="202" t="s">
        <v>158</v>
      </c>
      <c r="D471" s="14" t="s">
        <v>778</v>
      </c>
      <c r="E471" s="14" t="s">
        <v>311</v>
      </c>
      <c r="F471" s="14" t="s">
        <v>123</v>
      </c>
      <c r="G471" s="14" t="s">
        <v>39</v>
      </c>
      <c r="H471" s="14"/>
      <c r="I471" s="14" t="s">
        <v>312</v>
      </c>
      <c r="J471" s="14">
        <v>952</v>
      </c>
      <c r="K471" s="13">
        <v>0</v>
      </c>
      <c r="L471" s="13">
        <v>4845.68</v>
      </c>
      <c r="M471" s="13">
        <v>0</v>
      </c>
      <c r="N471" s="13">
        <v>0</v>
      </c>
      <c r="O471" s="76">
        <v>4845.68</v>
      </c>
      <c r="P471" s="81" t="s">
        <v>272</v>
      </c>
      <c r="Q471" s="123">
        <v>482</v>
      </c>
      <c r="R471" s="123"/>
      <c r="S471" s="123"/>
      <c r="T471" s="13">
        <f>LISTA[[#This Row],[TARIFA OUT ]]+LISTA[[#This Row],[TARIFA IN]]+LISTA[[#This Row],[VALOR FINAL]]</f>
        <v>4845.68</v>
      </c>
    </row>
    <row r="472" spans="1:20" x14ac:dyDescent="0.2">
      <c r="A472" s="13" t="s">
        <v>14</v>
      </c>
      <c r="B472" s="190">
        <v>44889</v>
      </c>
      <c r="C472" s="202" t="s">
        <v>38</v>
      </c>
      <c r="D472" s="14" t="s">
        <v>752</v>
      </c>
      <c r="E472" s="14" t="s">
        <v>735</v>
      </c>
      <c r="F472" s="14" t="s">
        <v>210</v>
      </c>
      <c r="G472" s="14" t="s">
        <v>97</v>
      </c>
      <c r="H472" s="14"/>
      <c r="I472" s="14" t="s">
        <v>753</v>
      </c>
      <c r="J472" s="14">
        <v>2453.85</v>
      </c>
      <c r="K472" s="13">
        <v>0</v>
      </c>
      <c r="L472" s="13">
        <v>12220.17</v>
      </c>
      <c r="M472" s="13">
        <v>50892.85</v>
      </c>
      <c r="N472" s="13">
        <v>0</v>
      </c>
      <c r="O472" s="76">
        <v>63113.02</v>
      </c>
      <c r="P472" s="81" t="s">
        <v>272</v>
      </c>
      <c r="Q472" s="123">
        <v>467</v>
      </c>
      <c r="R472" s="123"/>
      <c r="S472" s="123"/>
      <c r="T472" s="13">
        <f>LISTA[[#This Row],[TARIFA OUT ]]+LISTA[[#This Row],[TARIFA IN]]+LISTA[[#This Row],[VALOR FINAL]]</f>
        <v>63113.02</v>
      </c>
    </row>
    <row r="473" spans="1:20" x14ac:dyDescent="0.2">
      <c r="A473" s="13" t="s">
        <v>14</v>
      </c>
      <c r="B473" s="190">
        <v>44889</v>
      </c>
      <c r="C473" s="202" t="s">
        <v>38</v>
      </c>
      <c r="D473" s="14" t="s">
        <v>754</v>
      </c>
      <c r="E473" s="14" t="s">
        <v>735</v>
      </c>
      <c r="F473" s="14" t="s">
        <v>417</v>
      </c>
      <c r="G473" s="14" t="s">
        <v>97</v>
      </c>
      <c r="H473" s="14"/>
      <c r="I473" s="14" t="s">
        <v>755</v>
      </c>
      <c r="J473" s="14">
        <v>4972.74</v>
      </c>
      <c r="K473" s="13">
        <v>0</v>
      </c>
      <c r="L473" s="13">
        <v>16061.95</v>
      </c>
      <c r="M473" s="13">
        <v>72502.55</v>
      </c>
      <c r="N473" s="13">
        <v>0</v>
      </c>
      <c r="O473" s="76">
        <v>88564.5</v>
      </c>
      <c r="P473" s="81" t="s">
        <v>272</v>
      </c>
      <c r="Q473" s="123">
        <v>468</v>
      </c>
      <c r="R473" s="123"/>
      <c r="S473" s="123"/>
      <c r="T473" s="13">
        <f>LISTA[[#This Row],[TARIFA OUT ]]+LISTA[[#This Row],[TARIFA IN]]+LISTA[[#This Row],[VALOR FINAL]]</f>
        <v>88564.5</v>
      </c>
    </row>
    <row r="474" spans="1:20" x14ac:dyDescent="0.2">
      <c r="A474" s="13" t="s">
        <v>14</v>
      </c>
      <c r="B474" s="190">
        <v>44889</v>
      </c>
      <c r="C474" s="202" t="s">
        <v>90</v>
      </c>
      <c r="D474" s="14" t="s">
        <v>734</v>
      </c>
      <c r="E474" s="14" t="s">
        <v>735</v>
      </c>
      <c r="F474" s="14" t="s">
        <v>540</v>
      </c>
      <c r="G474" s="14" t="s">
        <v>97</v>
      </c>
      <c r="H474" s="14"/>
      <c r="I474" s="14" t="s">
        <v>415</v>
      </c>
      <c r="J474" s="14">
        <v>2453.85</v>
      </c>
      <c r="K474" s="13">
        <v>0</v>
      </c>
      <c r="L474" s="13">
        <v>12220.17</v>
      </c>
      <c r="M474" s="13">
        <v>38206.44</v>
      </c>
      <c r="N474" s="13">
        <v>0</v>
      </c>
      <c r="O474" s="76">
        <v>50426.62</v>
      </c>
      <c r="P474" s="81" t="s">
        <v>272</v>
      </c>
      <c r="Q474" s="123">
        <v>459</v>
      </c>
      <c r="R474" s="123"/>
      <c r="S474" s="123"/>
      <c r="T474" s="13">
        <f>LISTA[[#This Row],[TARIFA OUT ]]+LISTA[[#This Row],[TARIFA IN]]+LISTA[[#This Row],[VALOR FINAL]]</f>
        <v>50426.62</v>
      </c>
    </row>
    <row r="475" spans="1:20" x14ac:dyDescent="0.2">
      <c r="A475" s="13" t="s">
        <v>14</v>
      </c>
      <c r="B475" s="190">
        <v>44889</v>
      </c>
      <c r="C475" s="202" t="s">
        <v>90</v>
      </c>
      <c r="D475" s="14" t="s">
        <v>736</v>
      </c>
      <c r="E475" s="14" t="s">
        <v>735</v>
      </c>
      <c r="F475" s="14" t="s">
        <v>173</v>
      </c>
      <c r="G475" s="14" t="s">
        <v>97</v>
      </c>
      <c r="H475" s="14"/>
      <c r="I475" s="14" t="s">
        <v>503</v>
      </c>
      <c r="J475" s="14">
        <v>1657.58</v>
      </c>
      <c r="K475" s="13">
        <v>0</v>
      </c>
      <c r="L475" s="13">
        <v>8254.75</v>
      </c>
      <c r="M475" s="13">
        <v>24830.55</v>
      </c>
      <c r="N475" s="13">
        <v>0</v>
      </c>
      <c r="O475" s="76">
        <v>33085.300000000003</v>
      </c>
      <c r="P475" s="81" t="s">
        <v>272</v>
      </c>
      <c r="Q475" s="123">
        <v>460</v>
      </c>
      <c r="R475" s="123"/>
      <c r="S475" s="123"/>
      <c r="T475" s="13">
        <f>LISTA[[#This Row],[TARIFA OUT ]]+LISTA[[#This Row],[TARIFA IN]]+LISTA[[#This Row],[VALOR FINAL]]</f>
        <v>33085.300000000003</v>
      </c>
    </row>
    <row r="476" spans="1:20" x14ac:dyDescent="0.2">
      <c r="A476" s="13" t="s">
        <v>14</v>
      </c>
      <c r="B476" s="190">
        <v>44889</v>
      </c>
      <c r="C476" s="202" t="s">
        <v>90</v>
      </c>
      <c r="D476" s="14" t="s">
        <v>737</v>
      </c>
      <c r="E476" s="14" t="s">
        <v>738</v>
      </c>
      <c r="F476" s="14" t="s">
        <v>538</v>
      </c>
      <c r="G476" s="14" t="s">
        <v>97</v>
      </c>
      <c r="H476" s="14"/>
      <c r="I476" s="14" t="s">
        <v>739</v>
      </c>
      <c r="J476" s="14">
        <v>2453.85</v>
      </c>
      <c r="K476" s="13">
        <v>0</v>
      </c>
      <c r="L476" s="13">
        <v>12220.17</v>
      </c>
      <c r="M476" s="13">
        <v>47604.69</v>
      </c>
      <c r="N476" s="13">
        <v>0</v>
      </c>
      <c r="O476" s="76">
        <v>59824.86</v>
      </c>
      <c r="P476" s="81" t="s">
        <v>272</v>
      </c>
      <c r="Q476" s="123">
        <v>461</v>
      </c>
      <c r="R476" s="123"/>
      <c r="S476" s="123"/>
      <c r="T476" s="13">
        <f>LISTA[[#This Row],[TARIFA OUT ]]+LISTA[[#This Row],[TARIFA IN]]+LISTA[[#This Row],[VALOR FINAL]]</f>
        <v>59824.86</v>
      </c>
    </row>
    <row r="477" spans="1:20" x14ac:dyDescent="0.2">
      <c r="A477" s="13" t="s">
        <v>14</v>
      </c>
      <c r="B477" s="190">
        <v>44889</v>
      </c>
      <c r="C477" s="202" t="s">
        <v>90</v>
      </c>
      <c r="D477" s="14" t="s">
        <v>740</v>
      </c>
      <c r="E477" s="14" t="s">
        <v>175</v>
      </c>
      <c r="F477" s="14" t="s">
        <v>742</v>
      </c>
      <c r="G477" s="14" t="s">
        <v>97</v>
      </c>
      <c r="H477" s="14"/>
      <c r="I477" s="14" t="s">
        <v>741</v>
      </c>
      <c r="J477" s="14">
        <v>900.48</v>
      </c>
      <c r="K477" s="13">
        <v>0</v>
      </c>
      <c r="L477" s="13">
        <v>4520.41</v>
      </c>
      <c r="M477" s="13">
        <f>+LISTA[[#This Row],[KILOS]]*27.58</f>
        <v>24835.238399999998</v>
      </c>
      <c r="N477" s="13">
        <v>0</v>
      </c>
      <c r="O477" s="13">
        <v>29355.65</v>
      </c>
      <c r="P477" s="81" t="s">
        <v>272</v>
      </c>
      <c r="Q477" s="123">
        <v>462</v>
      </c>
      <c r="R477" s="123"/>
      <c r="S477" s="123"/>
      <c r="T477" s="13">
        <f>LISTA[[#This Row],[TARIFA OUT ]]+LISTA[[#This Row],[TARIFA IN]]+LISTA[[#This Row],[VALOR FINAL]]</f>
        <v>29355.65</v>
      </c>
    </row>
    <row r="478" spans="1:20" x14ac:dyDescent="0.2">
      <c r="A478" s="13" t="s">
        <v>14</v>
      </c>
      <c r="B478" s="190">
        <v>44889</v>
      </c>
      <c r="C478" s="202" t="s">
        <v>38</v>
      </c>
      <c r="D478" s="14" t="s">
        <v>756</v>
      </c>
      <c r="E478" s="14" t="s">
        <v>757</v>
      </c>
      <c r="F478" s="14" t="s">
        <v>210</v>
      </c>
      <c r="G478" s="14" t="s">
        <v>97</v>
      </c>
      <c r="H478" s="14"/>
      <c r="I478" s="14" t="s">
        <v>511</v>
      </c>
      <c r="J478" s="14">
        <v>372.4</v>
      </c>
      <c r="K478" s="13">
        <v>0</v>
      </c>
      <c r="L478" s="13">
        <v>1869.45</v>
      </c>
      <c r="M478" s="13">
        <v>7760.82</v>
      </c>
      <c r="N478" s="13">
        <v>0</v>
      </c>
      <c r="O478" s="76">
        <v>9630.26</v>
      </c>
      <c r="P478" s="81" t="s">
        <v>272</v>
      </c>
      <c r="Q478" s="123">
        <v>469</v>
      </c>
      <c r="R478" s="123"/>
      <c r="S478" s="123"/>
      <c r="T478" s="13">
        <f>LISTA[[#This Row],[TARIFA OUT ]]+LISTA[[#This Row],[TARIFA IN]]+LISTA[[#This Row],[VALOR FINAL]]</f>
        <v>9630.26</v>
      </c>
    </row>
    <row r="479" spans="1:20" x14ac:dyDescent="0.2">
      <c r="A479" s="13" t="s">
        <v>14</v>
      </c>
      <c r="B479" s="190">
        <v>44889</v>
      </c>
      <c r="C479" s="202" t="s">
        <v>89</v>
      </c>
      <c r="D479" s="14" t="s">
        <v>775</v>
      </c>
      <c r="E479" s="14" t="s">
        <v>159</v>
      </c>
      <c r="F479" s="14" t="s">
        <v>161</v>
      </c>
      <c r="G479" s="14" t="s">
        <v>39</v>
      </c>
      <c r="H479" s="14"/>
      <c r="I479" s="14" t="s">
        <v>164</v>
      </c>
      <c r="J479" s="14">
        <v>727.68</v>
      </c>
      <c r="K479" s="13">
        <v>0</v>
      </c>
      <c r="L479" s="13">
        <v>3652.95</v>
      </c>
      <c r="M479" s="13">
        <v>0</v>
      </c>
      <c r="N479" s="13">
        <v>0</v>
      </c>
      <c r="O479" s="76">
        <v>3652.95</v>
      </c>
      <c r="P479" s="81" t="s">
        <v>272</v>
      </c>
      <c r="Q479" s="123">
        <v>479</v>
      </c>
      <c r="R479" s="123"/>
      <c r="S479" s="123"/>
      <c r="T479" s="13">
        <f>LISTA[[#This Row],[TARIFA OUT ]]+LISTA[[#This Row],[TARIFA IN]]+LISTA[[#This Row],[VALOR FINAL]]</f>
        <v>3652.95</v>
      </c>
    </row>
    <row r="480" spans="1:20" x14ac:dyDescent="0.2">
      <c r="A480" s="13" t="s">
        <v>14</v>
      </c>
      <c r="B480" s="190">
        <v>44889</v>
      </c>
      <c r="C480" s="202" t="s">
        <v>38</v>
      </c>
      <c r="D480" s="14" t="s">
        <v>758</v>
      </c>
      <c r="E480" s="14" t="s">
        <v>757</v>
      </c>
      <c r="F480" s="14" t="s">
        <v>210</v>
      </c>
      <c r="G480" s="14" t="s">
        <v>97</v>
      </c>
      <c r="H480" s="14"/>
      <c r="I480" s="14" t="s">
        <v>201</v>
      </c>
      <c r="J480" s="14">
        <v>902.4</v>
      </c>
      <c r="K480" s="13">
        <v>0</v>
      </c>
      <c r="L480" s="13">
        <v>4530.05</v>
      </c>
      <c r="M480" s="13">
        <v>16703.419999999998</v>
      </c>
      <c r="N480" s="13">
        <v>0</v>
      </c>
      <c r="O480" s="76">
        <v>21233.47</v>
      </c>
      <c r="P480" s="81" t="s">
        <v>272</v>
      </c>
      <c r="Q480" s="123">
        <v>470</v>
      </c>
      <c r="R480" s="123"/>
      <c r="S480" s="123"/>
      <c r="T480" s="13">
        <f>LISTA[[#This Row],[TARIFA OUT ]]+LISTA[[#This Row],[TARIFA IN]]+LISTA[[#This Row],[VALOR FINAL]]</f>
        <v>21233.47</v>
      </c>
    </row>
    <row r="481" spans="1:20" x14ac:dyDescent="0.2">
      <c r="A481" s="13" t="s">
        <v>14</v>
      </c>
      <c r="B481" s="190">
        <v>44889</v>
      </c>
      <c r="C481" s="202" t="s">
        <v>38</v>
      </c>
      <c r="D481" s="14" t="s">
        <v>759</v>
      </c>
      <c r="E481" s="14" t="s">
        <v>760</v>
      </c>
      <c r="F481" s="14" t="s">
        <v>206</v>
      </c>
      <c r="G481" s="14" t="s">
        <v>97</v>
      </c>
      <c r="H481" s="14"/>
      <c r="I481" s="14" t="s">
        <v>761</v>
      </c>
      <c r="J481" s="14">
        <v>684.84</v>
      </c>
      <c r="K481" s="13">
        <v>0</v>
      </c>
      <c r="L481" s="13">
        <v>3437.9</v>
      </c>
      <c r="M481" s="13">
        <v>10710.9</v>
      </c>
      <c r="N481" s="13">
        <v>0</v>
      </c>
      <c r="O481" s="76">
        <v>14148.79</v>
      </c>
      <c r="P481" s="81" t="s">
        <v>272</v>
      </c>
      <c r="Q481" s="123">
        <v>471</v>
      </c>
      <c r="R481" s="123"/>
      <c r="S481" s="123"/>
      <c r="T481" s="13">
        <f>LISTA[[#This Row],[TARIFA OUT ]]+LISTA[[#This Row],[TARIFA IN]]+LISTA[[#This Row],[VALOR FINAL]]</f>
        <v>14148.79</v>
      </c>
    </row>
    <row r="482" spans="1:20" x14ac:dyDescent="0.2">
      <c r="A482" s="13" t="s">
        <v>14</v>
      </c>
      <c r="B482" s="190">
        <v>44889</v>
      </c>
      <c r="C482" s="202" t="s">
        <v>38</v>
      </c>
      <c r="D482" s="14" t="s">
        <v>762</v>
      </c>
      <c r="E482" s="14" t="s">
        <v>763</v>
      </c>
      <c r="F482" s="14" t="s">
        <v>535</v>
      </c>
      <c r="G482" s="14" t="s">
        <v>97</v>
      </c>
      <c r="H482" s="14"/>
      <c r="I482" s="14" t="s">
        <v>764</v>
      </c>
      <c r="J482" s="14">
        <v>451.2</v>
      </c>
      <c r="K482" s="13">
        <v>0</v>
      </c>
      <c r="L482" s="13">
        <v>2265.02</v>
      </c>
      <c r="M482" s="13">
        <v>9218.02</v>
      </c>
      <c r="N482" s="13">
        <v>0</v>
      </c>
      <c r="O482" s="76">
        <v>11483.04</v>
      </c>
      <c r="P482" s="81" t="s">
        <v>272</v>
      </c>
      <c r="Q482" s="123">
        <v>472</v>
      </c>
      <c r="R482" s="123"/>
      <c r="S482" s="123"/>
      <c r="T482" s="13">
        <f>LISTA[[#This Row],[TARIFA OUT ]]+LISTA[[#This Row],[TARIFA IN]]+LISTA[[#This Row],[VALOR FINAL]]</f>
        <v>11483.04</v>
      </c>
    </row>
    <row r="483" spans="1:20" x14ac:dyDescent="0.2">
      <c r="A483" s="13" t="s">
        <v>14</v>
      </c>
      <c r="B483" s="190">
        <v>44889</v>
      </c>
      <c r="C483" s="202" t="s">
        <v>89</v>
      </c>
      <c r="D483" s="14" t="s">
        <v>776</v>
      </c>
      <c r="E483" s="14" t="s">
        <v>766</v>
      </c>
      <c r="F483" s="14" t="s">
        <v>767</v>
      </c>
      <c r="G483" s="14" t="s">
        <v>39</v>
      </c>
      <c r="H483" s="14"/>
      <c r="I483" s="14" t="s">
        <v>768</v>
      </c>
      <c r="J483" s="14">
        <v>2693.55</v>
      </c>
      <c r="K483" s="13">
        <v>0</v>
      </c>
      <c r="L483" s="13">
        <v>13413.88</v>
      </c>
      <c r="M483" s="13">
        <v>0</v>
      </c>
      <c r="N483" s="13">
        <v>0</v>
      </c>
      <c r="O483" s="76">
        <v>13413.88</v>
      </c>
      <c r="P483" s="81" t="s">
        <v>272</v>
      </c>
      <c r="Q483" s="123">
        <v>480</v>
      </c>
      <c r="R483" s="123"/>
      <c r="S483" s="123"/>
      <c r="T483" s="13">
        <f>LISTA[[#This Row],[TARIFA OUT ]]+LISTA[[#This Row],[TARIFA IN]]+LISTA[[#This Row],[VALOR FINAL]]</f>
        <v>13413.88</v>
      </c>
    </row>
    <row r="484" spans="1:20" x14ac:dyDescent="0.2">
      <c r="A484" s="13" t="s">
        <v>14</v>
      </c>
      <c r="B484" s="190">
        <v>44889</v>
      </c>
      <c r="C484" s="202" t="s">
        <v>158</v>
      </c>
      <c r="D484" s="14" t="s">
        <v>779</v>
      </c>
      <c r="E484" s="14" t="s">
        <v>330</v>
      </c>
      <c r="F484" s="14" t="s">
        <v>123</v>
      </c>
      <c r="G484" s="14" t="s">
        <v>39</v>
      </c>
      <c r="H484" s="14"/>
      <c r="I484" s="14" t="s">
        <v>780</v>
      </c>
      <c r="J484" s="14">
        <v>1158.6600000000001</v>
      </c>
      <c r="K484" s="13">
        <v>0</v>
      </c>
      <c r="L484" s="13">
        <v>5770.13</v>
      </c>
      <c r="M484" s="13">
        <v>0</v>
      </c>
      <c r="N484" s="13">
        <v>0</v>
      </c>
      <c r="O484" s="76">
        <v>5770.13</v>
      </c>
      <c r="P484" s="81" t="s">
        <v>272</v>
      </c>
      <c r="Q484" s="123">
        <v>483</v>
      </c>
      <c r="R484" s="123"/>
      <c r="S484" s="123"/>
      <c r="T484" s="13">
        <f>LISTA[[#This Row],[TARIFA OUT ]]+LISTA[[#This Row],[TARIFA IN]]+LISTA[[#This Row],[VALOR FINAL]]</f>
        <v>5770.13</v>
      </c>
    </row>
    <row r="485" spans="1:20" x14ac:dyDescent="0.2">
      <c r="A485" s="13" t="s">
        <v>14</v>
      </c>
      <c r="B485" s="203">
        <v>44880</v>
      </c>
      <c r="C485" s="14" t="s">
        <v>804</v>
      </c>
      <c r="D485" s="14" t="s">
        <v>454</v>
      </c>
      <c r="E485" s="14" t="s">
        <v>455</v>
      </c>
      <c r="F485" s="14" t="s">
        <v>39</v>
      </c>
      <c r="G485" s="14" t="s">
        <v>39</v>
      </c>
      <c r="H485" s="14"/>
      <c r="I485" s="14" t="s">
        <v>805</v>
      </c>
      <c r="J485" s="14">
        <v>15846.04</v>
      </c>
      <c r="K485" s="13">
        <v>0</v>
      </c>
      <c r="L485" s="13">
        <v>0</v>
      </c>
      <c r="M485" s="13">
        <v>0</v>
      </c>
      <c r="N485" s="13">
        <v>0</v>
      </c>
      <c r="O485" s="13">
        <v>0</v>
      </c>
      <c r="P485" s="81" t="s">
        <v>272</v>
      </c>
      <c r="Q485" s="123">
        <v>485</v>
      </c>
      <c r="R485" s="123"/>
      <c r="S485" s="123"/>
      <c r="T485" s="13">
        <f>LISTA[[#This Row],[TARIFA OUT ]]+LISTA[[#This Row],[TARIFA IN]]+LISTA[[#This Row],[VALOR FINAL]]</f>
        <v>0</v>
      </c>
    </row>
    <row r="486" spans="1:20" x14ac:dyDescent="0.2">
      <c r="A486" s="13" t="s">
        <v>14</v>
      </c>
      <c r="B486" s="203">
        <v>44880</v>
      </c>
      <c r="C486" s="14" t="s">
        <v>804</v>
      </c>
      <c r="D486" s="14" t="s">
        <v>457</v>
      </c>
      <c r="E486" s="14" t="s">
        <v>455</v>
      </c>
      <c r="F486" s="14" t="s">
        <v>39</v>
      </c>
      <c r="G486" s="14" t="s">
        <v>39</v>
      </c>
      <c r="H486" s="14"/>
      <c r="I486" s="14" t="s">
        <v>805</v>
      </c>
      <c r="J486" s="14">
        <v>2077.0500000000002</v>
      </c>
      <c r="K486" s="13">
        <v>0</v>
      </c>
      <c r="L486" s="13">
        <v>0</v>
      </c>
      <c r="M486" s="13">
        <v>0</v>
      </c>
      <c r="N486" s="13">
        <v>0</v>
      </c>
      <c r="O486" s="13">
        <v>0</v>
      </c>
      <c r="P486" s="81" t="s">
        <v>272</v>
      </c>
      <c r="Q486" s="123">
        <v>486</v>
      </c>
      <c r="R486" s="123"/>
      <c r="S486" s="123"/>
      <c r="T486" s="13">
        <f>LISTA[[#This Row],[TARIFA OUT ]]+LISTA[[#This Row],[TARIFA IN]]+LISTA[[#This Row],[VALOR FINAL]]</f>
        <v>0</v>
      </c>
    </row>
    <row r="487" spans="1:20" x14ac:dyDescent="0.2">
      <c r="A487" s="13" t="s">
        <v>14</v>
      </c>
      <c r="B487" s="203">
        <v>44880</v>
      </c>
      <c r="C487" s="14" t="s">
        <v>804</v>
      </c>
      <c r="D487" s="14" t="s">
        <v>458</v>
      </c>
      <c r="E487" s="14" t="s">
        <v>455</v>
      </c>
      <c r="F487" s="14" t="s">
        <v>39</v>
      </c>
      <c r="G487" s="14" t="s">
        <v>39</v>
      </c>
      <c r="H487" s="14"/>
      <c r="I487" s="14" t="s">
        <v>805</v>
      </c>
      <c r="J487" s="14">
        <v>36.799999999999997</v>
      </c>
      <c r="K487" s="13">
        <v>0</v>
      </c>
      <c r="L487" s="13">
        <v>0</v>
      </c>
      <c r="M487" s="13">
        <v>0</v>
      </c>
      <c r="N487" s="13">
        <v>0</v>
      </c>
      <c r="O487" s="13">
        <v>0</v>
      </c>
      <c r="P487" s="81" t="s">
        <v>272</v>
      </c>
      <c r="Q487" s="123">
        <v>487</v>
      </c>
      <c r="R487" s="123"/>
      <c r="S487" s="123"/>
      <c r="T487" s="13">
        <f>LISTA[[#This Row],[TARIFA OUT ]]+LISTA[[#This Row],[TARIFA IN]]+LISTA[[#This Row],[VALOR FINAL]]</f>
        <v>0</v>
      </c>
    </row>
    <row r="488" spans="1:20" x14ac:dyDescent="0.2">
      <c r="A488" s="13" t="s">
        <v>14</v>
      </c>
      <c r="B488" s="203">
        <v>44880</v>
      </c>
      <c r="C488" s="14" t="s">
        <v>804</v>
      </c>
      <c r="D488" s="14" t="s">
        <v>459</v>
      </c>
      <c r="E488" s="14" t="s">
        <v>455</v>
      </c>
      <c r="F488" s="14" t="s">
        <v>39</v>
      </c>
      <c r="G488" s="14" t="s">
        <v>39</v>
      </c>
      <c r="H488" s="14"/>
      <c r="I488" s="14" t="s">
        <v>805</v>
      </c>
      <c r="J488" s="14">
        <v>377.6</v>
      </c>
      <c r="K488" s="13">
        <v>0</v>
      </c>
      <c r="L488" s="13">
        <v>0</v>
      </c>
      <c r="M488" s="13">
        <v>0</v>
      </c>
      <c r="N488" s="13">
        <v>0</v>
      </c>
      <c r="O488" s="13">
        <v>0</v>
      </c>
      <c r="P488" s="81" t="s">
        <v>272</v>
      </c>
      <c r="Q488" s="123">
        <v>488</v>
      </c>
      <c r="R488" s="123"/>
      <c r="S488" s="123"/>
      <c r="T488" s="13">
        <f>LISTA[[#This Row],[TARIFA OUT ]]+LISTA[[#This Row],[TARIFA IN]]+LISTA[[#This Row],[VALOR FINAL]]</f>
        <v>0</v>
      </c>
    </row>
    <row r="489" spans="1:20" x14ac:dyDescent="0.2">
      <c r="A489" s="13" t="s">
        <v>14</v>
      </c>
      <c r="B489" s="203">
        <v>44880</v>
      </c>
      <c r="C489" s="14" t="s">
        <v>804</v>
      </c>
      <c r="D489" s="14" t="s">
        <v>460</v>
      </c>
      <c r="E489" s="14" t="s">
        <v>449</v>
      </c>
      <c r="F489" s="14" t="s">
        <v>39</v>
      </c>
      <c r="G489" s="14" t="s">
        <v>39</v>
      </c>
      <c r="H489" s="14"/>
      <c r="I489" s="14" t="s">
        <v>806</v>
      </c>
      <c r="J489" s="14">
        <v>23.02</v>
      </c>
      <c r="K489" s="13">
        <v>0</v>
      </c>
      <c r="L489" s="13">
        <v>0</v>
      </c>
      <c r="M489" s="13">
        <v>0</v>
      </c>
      <c r="N489" s="13">
        <v>0</v>
      </c>
      <c r="O489" s="13">
        <v>0</v>
      </c>
      <c r="P489" s="81" t="s">
        <v>272</v>
      </c>
      <c r="Q489" s="123">
        <v>489</v>
      </c>
      <c r="R489" s="123"/>
      <c r="S489" s="123"/>
      <c r="T489" s="13">
        <f>LISTA[[#This Row],[TARIFA OUT ]]+LISTA[[#This Row],[TARIFA IN]]+LISTA[[#This Row],[VALOR FINAL]]</f>
        <v>0</v>
      </c>
    </row>
    <row r="490" spans="1:20" x14ac:dyDescent="0.2">
      <c r="A490" s="13" t="s">
        <v>14</v>
      </c>
      <c r="B490" s="203">
        <v>44880</v>
      </c>
      <c r="C490" s="14" t="s">
        <v>804</v>
      </c>
      <c r="D490" s="14" t="s">
        <v>782</v>
      </c>
      <c r="E490" s="14" t="s">
        <v>801</v>
      </c>
      <c r="F490" s="14" t="s">
        <v>39</v>
      </c>
      <c r="G490" s="14" t="s">
        <v>39</v>
      </c>
      <c r="H490" s="14"/>
      <c r="I490" s="14" t="s">
        <v>807</v>
      </c>
      <c r="J490" s="14">
        <v>57.54</v>
      </c>
      <c r="K490" s="13">
        <v>0</v>
      </c>
      <c r="L490" s="13">
        <v>0</v>
      </c>
      <c r="M490" s="13">
        <v>0</v>
      </c>
      <c r="N490" s="13">
        <v>0</v>
      </c>
      <c r="O490" s="13">
        <v>0</v>
      </c>
      <c r="P490" s="81" t="s">
        <v>272</v>
      </c>
      <c r="Q490" s="123">
        <v>490</v>
      </c>
      <c r="R490" s="123"/>
      <c r="S490" s="123"/>
      <c r="T490" s="13">
        <f>LISTA[[#This Row],[TARIFA OUT ]]+LISTA[[#This Row],[TARIFA IN]]+LISTA[[#This Row],[VALOR FINAL]]</f>
        <v>0</v>
      </c>
    </row>
    <row r="491" spans="1:20" x14ac:dyDescent="0.2">
      <c r="A491" s="13" t="s">
        <v>14</v>
      </c>
      <c r="B491" s="203">
        <v>44880</v>
      </c>
      <c r="C491" s="14" t="s">
        <v>804</v>
      </c>
      <c r="D491" s="14" t="s">
        <v>783</v>
      </c>
      <c r="E491" s="14" t="s">
        <v>802</v>
      </c>
      <c r="F491" s="14" t="s">
        <v>39</v>
      </c>
      <c r="G491" s="14" t="s">
        <v>39</v>
      </c>
      <c r="H491" s="14"/>
      <c r="I491" s="14" t="s">
        <v>808</v>
      </c>
      <c r="J491" s="14">
        <v>34.520000000000003</v>
      </c>
      <c r="K491" s="13">
        <v>0</v>
      </c>
      <c r="L491" s="13">
        <v>0</v>
      </c>
      <c r="M491" s="13">
        <v>0</v>
      </c>
      <c r="N491" s="13">
        <v>0</v>
      </c>
      <c r="O491" s="13">
        <v>0</v>
      </c>
      <c r="P491" s="81" t="s">
        <v>272</v>
      </c>
      <c r="Q491" s="123">
        <v>491</v>
      </c>
      <c r="R491" s="123"/>
      <c r="S491" s="123"/>
      <c r="T491" s="13">
        <f>LISTA[[#This Row],[TARIFA OUT ]]+LISTA[[#This Row],[TARIFA IN]]+LISTA[[#This Row],[VALOR FINAL]]</f>
        <v>0</v>
      </c>
    </row>
    <row r="492" spans="1:20" x14ac:dyDescent="0.2">
      <c r="A492" s="13" t="s">
        <v>14</v>
      </c>
      <c r="B492" s="203">
        <v>44883</v>
      </c>
      <c r="C492" s="14" t="s">
        <v>804</v>
      </c>
      <c r="D492" s="14" t="s">
        <v>769</v>
      </c>
      <c r="E492" s="14" t="s">
        <v>449</v>
      </c>
      <c r="F492" s="14" t="s">
        <v>39</v>
      </c>
      <c r="G492" s="14" t="s">
        <v>39</v>
      </c>
      <c r="H492" s="14"/>
      <c r="I492" s="14" t="s">
        <v>806</v>
      </c>
      <c r="J492" s="14">
        <v>3486.29</v>
      </c>
      <c r="K492" s="13">
        <v>0</v>
      </c>
      <c r="L492" s="13">
        <v>0</v>
      </c>
      <c r="M492" s="13">
        <v>0</v>
      </c>
      <c r="N492" s="13">
        <v>0</v>
      </c>
      <c r="O492" s="13">
        <v>0</v>
      </c>
      <c r="P492" s="81" t="s">
        <v>272</v>
      </c>
      <c r="Q492" s="123">
        <v>492</v>
      </c>
      <c r="R492" s="123"/>
      <c r="S492" s="123"/>
      <c r="T492" s="13">
        <f>LISTA[[#This Row],[TARIFA OUT ]]+LISTA[[#This Row],[TARIFA IN]]+LISTA[[#This Row],[VALOR FINAL]]</f>
        <v>0</v>
      </c>
    </row>
    <row r="493" spans="1:20" x14ac:dyDescent="0.2">
      <c r="A493" s="13" t="s">
        <v>14</v>
      </c>
      <c r="B493" s="203">
        <v>44883</v>
      </c>
      <c r="C493" s="14" t="s">
        <v>804</v>
      </c>
      <c r="D493" s="14" t="s">
        <v>784</v>
      </c>
      <c r="E493" s="14" t="s">
        <v>802</v>
      </c>
      <c r="F493" s="14" t="s">
        <v>39</v>
      </c>
      <c r="G493" s="14" t="s">
        <v>39</v>
      </c>
      <c r="H493" s="14"/>
      <c r="I493" s="14" t="s">
        <v>808</v>
      </c>
      <c r="J493" s="14">
        <v>380</v>
      </c>
      <c r="K493" s="13">
        <v>0</v>
      </c>
      <c r="L493" s="13">
        <v>0</v>
      </c>
      <c r="M493" s="13">
        <v>0</v>
      </c>
      <c r="N493" s="13">
        <v>0</v>
      </c>
      <c r="O493" s="13">
        <v>0</v>
      </c>
      <c r="P493" s="81" t="s">
        <v>272</v>
      </c>
      <c r="Q493" s="123">
        <v>493</v>
      </c>
      <c r="R493" s="123"/>
      <c r="S493" s="123"/>
      <c r="T493" s="13">
        <f>LISTA[[#This Row],[TARIFA OUT ]]+LISTA[[#This Row],[TARIFA IN]]+LISTA[[#This Row],[VALOR FINAL]]</f>
        <v>0</v>
      </c>
    </row>
    <row r="494" spans="1:20" x14ac:dyDescent="0.2">
      <c r="A494" s="13" t="s">
        <v>14</v>
      </c>
      <c r="B494" s="203">
        <v>44883</v>
      </c>
      <c r="C494" s="14" t="s">
        <v>804</v>
      </c>
      <c r="D494" s="14" t="s">
        <v>785</v>
      </c>
      <c r="E494" s="14" t="s">
        <v>802</v>
      </c>
      <c r="F494" s="14" t="s">
        <v>39</v>
      </c>
      <c r="G494" s="14" t="s">
        <v>39</v>
      </c>
      <c r="H494" s="14"/>
      <c r="I494" s="14" t="s">
        <v>808</v>
      </c>
      <c r="J494" s="14">
        <v>5501.8</v>
      </c>
      <c r="K494" s="13">
        <v>0</v>
      </c>
      <c r="L494" s="13">
        <v>0</v>
      </c>
      <c r="M494" s="13">
        <v>0</v>
      </c>
      <c r="N494" s="13">
        <v>0</v>
      </c>
      <c r="O494" s="13">
        <v>0</v>
      </c>
      <c r="P494" s="81" t="s">
        <v>272</v>
      </c>
      <c r="Q494" s="123">
        <v>494</v>
      </c>
      <c r="R494" s="123"/>
      <c r="S494" s="123"/>
      <c r="T494" s="13">
        <f>LISTA[[#This Row],[TARIFA OUT ]]+LISTA[[#This Row],[TARIFA IN]]+LISTA[[#This Row],[VALOR FINAL]]</f>
        <v>0</v>
      </c>
    </row>
    <row r="495" spans="1:20" x14ac:dyDescent="0.2">
      <c r="A495" s="13" t="s">
        <v>14</v>
      </c>
      <c r="B495" s="203">
        <v>44883</v>
      </c>
      <c r="C495" s="14" t="s">
        <v>804</v>
      </c>
      <c r="D495" s="14" t="s">
        <v>786</v>
      </c>
      <c r="E495" s="14" t="s">
        <v>802</v>
      </c>
      <c r="F495" s="14" t="s">
        <v>39</v>
      </c>
      <c r="G495" s="14" t="s">
        <v>39</v>
      </c>
      <c r="H495" s="14"/>
      <c r="I495" s="14" t="s">
        <v>808</v>
      </c>
      <c r="J495" s="14">
        <v>3886.42</v>
      </c>
      <c r="K495" s="13">
        <v>0</v>
      </c>
      <c r="L495" s="13">
        <v>0</v>
      </c>
      <c r="M495" s="13">
        <v>0</v>
      </c>
      <c r="N495" s="13">
        <v>0</v>
      </c>
      <c r="O495" s="13">
        <v>0</v>
      </c>
      <c r="P495" s="81" t="s">
        <v>272</v>
      </c>
      <c r="Q495" s="123">
        <v>495</v>
      </c>
      <c r="R495" s="123"/>
      <c r="S495" s="123"/>
      <c r="T495" s="13">
        <f>LISTA[[#This Row],[TARIFA OUT ]]+LISTA[[#This Row],[TARIFA IN]]+LISTA[[#This Row],[VALOR FINAL]]</f>
        <v>0</v>
      </c>
    </row>
    <row r="496" spans="1:20" x14ac:dyDescent="0.2">
      <c r="A496" s="13" t="s">
        <v>14</v>
      </c>
      <c r="B496" s="203">
        <v>44883</v>
      </c>
      <c r="C496" s="14" t="s">
        <v>804</v>
      </c>
      <c r="D496" s="14" t="s">
        <v>787</v>
      </c>
      <c r="E496" s="14" t="s">
        <v>802</v>
      </c>
      <c r="F496" s="14" t="s">
        <v>39</v>
      </c>
      <c r="G496" s="14" t="s">
        <v>39</v>
      </c>
      <c r="H496" s="14"/>
      <c r="I496" s="14" t="s">
        <v>808</v>
      </c>
      <c r="J496" s="14">
        <v>3673.44</v>
      </c>
      <c r="K496" s="13">
        <v>0</v>
      </c>
      <c r="L496" s="13">
        <v>0</v>
      </c>
      <c r="M496" s="13">
        <v>0</v>
      </c>
      <c r="N496" s="13">
        <v>0</v>
      </c>
      <c r="O496" s="13">
        <v>0</v>
      </c>
      <c r="P496" s="81" t="s">
        <v>272</v>
      </c>
      <c r="Q496" s="123">
        <v>496</v>
      </c>
      <c r="R496" s="123"/>
      <c r="S496" s="123"/>
      <c r="T496" s="13">
        <f>LISTA[[#This Row],[TARIFA OUT ]]+LISTA[[#This Row],[TARIFA IN]]+LISTA[[#This Row],[VALOR FINAL]]</f>
        <v>0</v>
      </c>
    </row>
    <row r="497" spans="1:20" x14ac:dyDescent="0.2">
      <c r="A497" s="13" t="s">
        <v>14</v>
      </c>
      <c r="B497" s="203">
        <v>44883</v>
      </c>
      <c r="C497" s="14" t="s">
        <v>804</v>
      </c>
      <c r="D497" s="14" t="s">
        <v>788</v>
      </c>
      <c r="E497" s="14" t="s">
        <v>802</v>
      </c>
      <c r="F497" s="14" t="s">
        <v>39</v>
      </c>
      <c r="G497" s="14" t="s">
        <v>39</v>
      </c>
      <c r="H497" s="14"/>
      <c r="I497" s="14" t="s">
        <v>808</v>
      </c>
      <c r="J497" s="14">
        <v>3704.14</v>
      </c>
      <c r="K497" s="13">
        <v>0</v>
      </c>
      <c r="L497" s="13">
        <v>0</v>
      </c>
      <c r="M497" s="13">
        <v>0</v>
      </c>
      <c r="N497" s="13">
        <v>0</v>
      </c>
      <c r="O497" s="13">
        <v>0</v>
      </c>
      <c r="P497" s="81" t="s">
        <v>272</v>
      </c>
      <c r="Q497" s="123">
        <v>497</v>
      </c>
      <c r="R497" s="123"/>
      <c r="S497" s="123"/>
      <c r="T497" s="13">
        <f>LISTA[[#This Row],[TARIFA OUT ]]+LISTA[[#This Row],[TARIFA IN]]+LISTA[[#This Row],[VALOR FINAL]]</f>
        <v>0</v>
      </c>
    </row>
    <row r="498" spans="1:20" x14ac:dyDescent="0.2">
      <c r="A498" s="13" t="s">
        <v>14</v>
      </c>
      <c r="B498" s="203">
        <v>44883</v>
      </c>
      <c r="C498" s="14" t="s">
        <v>804</v>
      </c>
      <c r="D498" s="14" t="s">
        <v>789</v>
      </c>
      <c r="E498" s="14" t="s">
        <v>802</v>
      </c>
      <c r="F498" s="14" t="s">
        <v>39</v>
      </c>
      <c r="G498" s="14" t="s">
        <v>39</v>
      </c>
      <c r="H498" s="14"/>
      <c r="I498" s="14" t="s">
        <v>808</v>
      </c>
      <c r="J498" s="14">
        <v>631.14</v>
      </c>
      <c r="K498" s="13">
        <v>0</v>
      </c>
      <c r="L498" s="13">
        <v>0</v>
      </c>
      <c r="M498" s="13">
        <v>0</v>
      </c>
      <c r="N498" s="13">
        <v>0</v>
      </c>
      <c r="O498" s="13">
        <v>0</v>
      </c>
      <c r="P498" s="81" t="s">
        <v>272</v>
      </c>
      <c r="Q498" s="123">
        <v>498</v>
      </c>
      <c r="R498" s="123"/>
      <c r="S498" s="123"/>
      <c r="T498" s="13">
        <f>LISTA[[#This Row],[TARIFA OUT ]]+LISTA[[#This Row],[TARIFA IN]]+LISTA[[#This Row],[VALOR FINAL]]</f>
        <v>0</v>
      </c>
    </row>
    <row r="499" spans="1:20" x14ac:dyDescent="0.2">
      <c r="A499" s="13" t="s">
        <v>14</v>
      </c>
      <c r="B499" s="203">
        <v>44883</v>
      </c>
      <c r="C499" s="14" t="s">
        <v>804</v>
      </c>
      <c r="D499" s="14" t="s">
        <v>790</v>
      </c>
      <c r="E499" s="14" t="s">
        <v>801</v>
      </c>
      <c r="F499" s="14" t="s">
        <v>39</v>
      </c>
      <c r="G499" s="14" t="s">
        <v>39</v>
      </c>
      <c r="H499" s="14"/>
      <c r="I499" s="14" t="s">
        <v>807</v>
      </c>
      <c r="J499" s="14">
        <v>2035.2</v>
      </c>
      <c r="K499" s="13">
        <v>0</v>
      </c>
      <c r="L499" s="13">
        <v>0</v>
      </c>
      <c r="M499" s="13">
        <v>0</v>
      </c>
      <c r="N499" s="13">
        <v>0</v>
      </c>
      <c r="O499" s="13">
        <v>0</v>
      </c>
      <c r="P499" s="81" t="s">
        <v>272</v>
      </c>
      <c r="Q499" s="123">
        <v>499</v>
      </c>
      <c r="R499" s="123"/>
      <c r="S499" s="123"/>
      <c r="T499" s="13">
        <f>LISTA[[#This Row],[TARIFA OUT ]]+LISTA[[#This Row],[TARIFA IN]]+LISTA[[#This Row],[VALOR FINAL]]</f>
        <v>0</v>
      </c>
    </row>
    <row r="500" spans="1:20" x14ac:dyDescent="0.2">
      <c r="A500" s="13" t="s">
        <v>14</v>
      </c>
      <c r="B500" s="203">
        <v>44883</v>
      </c>
      <c r="C500" s="14" t="s">
        <v>804</v>
      </c>
      <c r="D500" s="14" t="s">
        <v>791</v>
      </c>
      <c r="E500" s="14" t="s">
        <v>801</v>
      </c>
      <c r="F500" s="14" t="s">
        <v>39</v>
      </c>
      <c r="G500" s="14" t="s">
        <v>39</v>
      </c>
      <c r="H500" s="14"/>
      <c r="I500" s="14" t="s">
        <v>807</v>
      </c>
      <c r="J500" s="14">
        <v>2724.68</v>
      </c>
      <c r="K500" s="13">
        <v>0</v>
      </c>
      <c r="L500" s="13">
        <v>0</v>
      </c>
      <c r="M500" s="13">
        <v>0</v>
      </c>
      <c r="N500" s="13">
        <v>0</v>
      </c>
      <c r="O500" s="13">
        <v>0</v>
      </c>
      <c r="P500" s="81" t="s">
        <v>272</v>
      </c>
      <c r="Q500" s="123">
        <v>500</v>
      </c>
      <c r="R500" s="123"/>
      <c r="S500" s="123"/>
      <c r="T500" s="13">
        <f>LISTA[[#This Row],[TARIFA OUT ]]+LISTA[[#This Row],[TARIFA IN]]+LISTA[[#This Row],[VALOR FINAL]]</f>
        <v>0</v>
      </c>
    </row>
    <row r="501" spans="1:20" x14ac:dyDescent="0.2">
      <c r="A501" s="13" t="s">
        <v>14</v>
      </c>
      <c r="B501" s="203">
        <v>44883</v>
      </c>
      <c r="C501" s="14" t="s">
        <v>804</v>
      </c>
      <c r="D501" s="14" t="s">
        <v>792</v>
      </c>
      <c r="E501" s="14" t="s">
        <v>801</v>
      </c>
      <c r="F501" s="14" t="s">
        <v>39</v>
      </c>
      <c r="G501" s="14" t="s">
        <v>39</v>
      </c>
      <c r="H501" s="14"/>
      <c r="I501" s="14" t="s">
        <v>807</v>
      </c>
      <c r="J501" s="14">
        <v>2292.7199999999998</v>
      </c>
      <c r="K501" s="13">
        <v>0</v>
      </c>
      <c r="L501" s="13">
        <v>0</v>
      </c>
      <c r="M501" s="13">
        <v>0</v>
      </c>
      <c r="N501" s="13">
        <v>0</v>
      </c>
      <c r="O501" s="13">
        <v>0</v>
      </c>
      <c r="P501" s="81" t="s">
        <v>272</v>
      </c>
      <c r="Q501" s="123">
        <v>501</v>
      </c>
      <c r="R501" s="123"/>
      <c r="S501" s="123"/>
      <c r="T501" s="13">
        <f>LISTA[[#This Row],[TARIFA OUT ]]+LISTA[[#This Row],[TARIFA IN]]+LISTA[[#This Row],[VALOR FINAL]]</f>
        <v>0</v>
      </c>
    </row>
    <row r="502" spans="1:20" x14ac:dyDescent="0.2">
      <c r="A502" s="13" t="s">
        <v>14</v>
      </c>
      <c r="B502" s="203">
        <v>44887</v>
      </c>
      <c r="C502" s="14" t="s">
        <v>804</v>
      </c>
      <c r="D502" s="14" t="s">
        <v>793</v>
      </c>
      <c r="E502" s="14" t="s">
        <v>802</v>
      </c>
      <c r="F502" s="14" t="s">
        <v>39</v>
      </c>
      <c r="G502" s="14" t="s">
        <v>39</v>
      </c>
      <c r="H502" s="14"/>
      <c r="I502" s="14" t="s">
        <v>808</v>
      </c>
      <c r="J502" s="14">
        <v>4585.4399999999996</v>
      </c>
      <c r="K502" s="13">
        <v>0</v>
      </c>
      <c r="L502" s="13">
        <v>0</v>
      </c>
      <c r="M502" s="13">
        <v>0</v>
      </c>
      <c r="N502" s="13">
        <v>0</v>
      </c>
      <c r="O502" s="13">
        <v>0</v>
      </c>
      <c r="P502" s="81" t="s">
        <v>272</v>
      </c>
      <c r="Q502" s="123">
        <v>502</v>
      </c>
      <c r="R502" s="123"/>
      <c r="S502" s="123"/>
      <c r="T502" s="13">
        <f>LISTA[[#This Row],[TARIFA OUT ]]+LISTA[[#This Row],[TARIFA IN]]+LISTA[[#This Row],[VALOR FINAL]]</f>
        <v>0</v>
      </c>
    </row>
    <row r="503" spans="1:20" x14ac:dyDescent="0.2">
      <c r="A503" s="13" t="s">
        <v>14</v>
      </c>
      <c r="B503" s="203">
        <v>44887</v>
      </c>
      <c r="C503" s="14" t="s">
        <v>804</v>
      </c>
      <c r="D503" s="14" t="s">
        <v>794</v>
      </c>
      <c r="E503" s="14" t="s">
        <v>801</v>
      </c>
      <c r="F503" s="14" t="s">
        <v>39</v>
      </c>
      <c r="G503" s="14" t="s">
        <v>39</v>
      </c>
      <c r="H503" s="14"/>
      <c r="I503" s="14" t="s">
        <v>807</v>
      </c>
      <c r="J503" s="14">
        <v>3821.2</v>
      </c>
      <c r="K503" s="13">
        <v>0</v>
      </c>
      <c r="L503" s="13">
        <v>0</v>
      </c>
      <c r="M503" s="13">
        <v>0</v>
      </c>
      <c r="N503" s="13">
        <v>0</v>
      </c>
      <c r="O503" s="13">
        <v>0</v>
      </c>
      <c r="P503" s="81" t="s">
        <v>272</v>
      </c>
      <c r="Q503" s="123">
        <v>503</v>
      </c>
      <c r="R503" s="123"/>
      <c r="S503" s="123"/>
      <c r="T503" s="13">
        <f>LISTA[[#This Row],[TARIFA OUT ]]+LISTA[[#This Row],[TARIFA IN]]+LISTA[[#This Row],[VALOR FINAL]]</f>
        <v>0</v>
      </c>
    </row>
    <row r="504" spans="1:20" x14ac:dyDescent="0.2">
      <c r="A504" s="13" t="s">
        <v>14</v>
      </c>
      <c r="B504" s="190">
        <v>44888</v>
      </c>
      <c r="C504" s="14" t="s">
        <v>804</v>
      </c>
      <c r="D504" s="14" t="s">
        <v>795</v>
      </c>
      <c r="E504" s="14" t="s">
        <v>801</v>
      </c>
      <c r="F504" s="14" t="s">
        <v>39</v>
      </c>
      <c r="G504" s="14" t="s">
        <v>39</v>
      </c>
      <c r="H504" s="14"/>
      <c r="I504" s="14" t="s">
        <v>807</v>
      </c>
      <c r="J504" s="14">
        <v>1476.8</v>
      </c>
      <c r="K504" s="13">
        <v>0</v>
      </c>
      <c r="L504" s="13">
        <v>0</v>
      </c>
      <c r="M504" s="13">
        <v>0</v>
      </c>
      <c r="N504" s="13">
        <v>0</v>
      </c>
      <c r="O504" s="13">
        <v>0</v>
      </c>
      <c r="P504" s="81" t="s">
        <v>272</v>
      </c>
      <c r="Q504" s="123">
        <v>504</v>
      </c>
      <c r="R504" s="123"/>
      <c r="S504" s="123"/>
      <c r="T504" s="13">
        <f>LISTA[[#This Row],[TARIFA OUT ]]+LISTA[[#This Row],[TARIFA IN]]+LISTA[[#This Row],[VALOR FINAL]]</f>
        <v>0</v>
      </c>
    </row>
    <row r="505" spans="1:20" x14ac:dyDescent="0.2">
      <c r="A505" s="13" t="s">
        <v>14</v>
      </c>
      <c r="B505" s="190">
        <v>44888</v>
      </c>
      <c r="C505" s="14" t="s">
        <v>804</v>
      </c>
      <c r="D505" s="14" t="s">
        <v>796</v>
      </c>
      <c r="E505" s="14" t="s">
        <v>802</v>
      </c>
      <c r="F505" s="14" t="s">
        <v>39</v>
      </c>
      <c r="G505" s="14" t="s">
        <v>39</v>
      </c>
      <c r="H505" s="14"/>
      <c r="I505" s="14" t="s">
        <v>808</v>
      </c>
      <c r="J505" s="14">
        <v>369.2</v>
      </c>
      <c r="K505" s="13">
        <v>0</v>
      </c>
      <c r="L505" s="13">
        <v>0</v>
      </c>
      <c r="M505" s="13">
        <v>0</v>
      </c>
      <c r="N505" s="13">
        <v>0</v>
      </c>
      <c r="O505" s="13">
        <v>0</v>
      </c>
      <c r="P505" s="81" t="s">
        <v>272</v>
      </c>
      <c r="Q505" s="123">
        <v>505</v>
      </c>
      <c r="R505" s="123"/>
      <c r="S505" s="123"/>
      <c r="T505" s="13">
        <f>LISTA[[#This Row],[TARIFA OUT ]]+LISTA[[#This Row],[TARIFA IN]]+LISTA[[#This Row],[VALOR FINAL]]</f>
        <v>0</v>
      </c>
    </row>
    <row r="506" spans="1:20" x14ac:dyDescent="0.2">
      <c r="A506" s="13" t="s">
        <v>14</v>
      </c>
      <c r="B506" s="190">
        <v>44890</v>
      </c>
      <c r="C506" s="14" t="s">
        <v>804</v>
      </c>
      <c r="D506" s="14" t="s">
        <v>797</v>
      </c>
      <c r="E506" s="14" t="s">
        <v>803</v>
      </c>
      <c r="F506" s="14" t="s">
        <v>39</v>
      </c>
      <c r="G506" s="14" t="s">
        <v>39</v>
      </c>
      <c r="H506" s="14"/>
      <c r="I506" s="14" t="s">
        <v>809</v>
      </c>
      <c r="J506" s="14">
        <v>5042.24</v>
      </c>
      <c r="K506" s="13">
        <v>0</v>
      </c>
      <c r="L506" s="13">
        <v>0</v>
      </c>
      <c r="M506" s="13">
        <v>0</v>
      </c>
      <c r="N506" s="13">
        <v>0</v>
      </c>
      <c r="O506" s="13">
        <v>0</v>
      </c>
      <c r="P506" s="81" t="s">
        <v>272</v>
      </c>
      <c r="Q506" s="123">
        <v>506</v>
      </c>
      <c r="R506" s="123"/>
      <c r="S506" s="123"/>
      <c r="T506" s="13">
        <f>LISTA[[#This Row],[TARIFA OUT ]]+LISTA[[#This Row],[TARIFA IN]]+LISTA[[#This Row],[VALOR FINAL]]</f>
        <v>0</v>
      </c>
    </row>
    <row r="507" spans="1:20" x14ac:dyDescent="0.2">
      <c r="A507" s="13" t="s">
        <v>14</v>
      </c>
      <c r="B507" s="190">
        <v>44890</v>
      </c>
      <c r="C507" s="14" t="s">
        <v>804</v>
      </c>
      <c r="D507" s="14" t="s">
        <v>798</v>
      </c>
      <c r="E507" s="14" t="s">
        <v>803</v>
      </c>
      <c r="F507" s="14" t="s">
        <v>39</v>
      </c>
      <c r="G507" s="14" t="s">
        <v>39</v>
      </c>
      <c r="H507" s="14"/>
      <c r="I507" s="14" t="s">
        <v>809</v>
      </c>
      <c r="J507" s="14">
        <v>664.48</v>
      </c>
      <c r="K507" s="13">
        <v>0</v>
      </c>
      <c r="L507" s="13">
        <v>0</v>
      </c>
      <c r="M507" s="13">
        <v>0</v>
      </c>
      <c r="N507" s="13">
        <v>0</v>
      </c>
      <c r="O507" s="13">
        <v>0</v>
      </c>
      <c r="P507" s="81" t="s">
        <v>272</v>
      </c>
      <c r="Q507" s="123">
        <v>507</v>
      </c>
      <c r="R507" s="123"/>
      <c r="S507" s="123"/>
      <c r="T507" s="13">
        <f>LISTA[[#This Row],[TARIFA OUT ]]+LISTA[[#This Row],[TARIFA IN]]+LISTA[[#This Row],[VALOR FINAL]]</f>
        <v>0</v>
      </c>
    </row>
    <row r="508" spans="1:20" x14ac:dyDescent="0.2">
      <c r="A508" s="13" t="s">
        <v>14</v>
      </c>
      <c r="B508" s="190">
        <v>44890</v>
      </c>
      <c r="C508" s="14" t="s">
        <v>804</v>
      </c>
      <c r="D508" s="14" t="s">
        <v>799</v>
      </c>
      <c r="E508" s="14" t="s">
        <v>803</v>
      </c>
      <c r="F508" s="14" t="s">
        <v>39</v>
      </c>
      <c r="G508" s="14" t="s">
        <v>39</v>
      </c>
      <c r="H508" s="14"/>
      <c r="I508" s="14" t="s">
        <v>809</v>
      </c>
      <c r="J508" s="14">
        <v>3125.8</v>
      </c>
      <c r="K508" s="13">
        <v>0</v>
      </c>
      <c r="L508" s="13">
        <v>0</v>
      </c>
      <c r="M508" s="13">
        <v>0</v>
      </c>
      <c r="N508" s="13">
        <v>0</v>
      </c>
      <c r="O508" s="13">
        <v>0</v>
      </c>
      <c r="P508" s="81" t="s">
        <v>272</v>
      </c>
      <c r="Q508" s="123">
        <v>508</v>
      </c>
      <c r="R508" s="123"/>
      <c r="S508" s="123"/>
      <c r="T508" s="13">
        <f>LISTA[[#This Row],[TARIFA OUT ]]+LISTA[[#This Row],[TARIFA IN]]+LISTA[[#This Row],[VALOR FINAL]]</f>
        <v>0</v>
      </c>
    </row>
    <row r="509" spans="1:20" x14ac:dyDescent="0.2">
      <c r="A509" s="13" t="s">
        <v>14</v>
      </c>
      <c r="B509" s="190">
        <v>44890</v>
      </c>
      <c r="C509" s="14" t="s">
        <v>804</v>
      </c>
      <c r="D509" s="14" t="s">
        <v>800</v>
      </c>
      <c r="E509" s="14" t="s">
        <v>801</v>
      </c>
      <c r="F509" s="14" t="s">
        <v>39</v>
      </c>
      <c r="G509" s="14" t="s">
        <v>39</v>
      </c>
      <c r="H509" s="14"/>
      <c r="I509" s="14" t="s">
        <v>807</v>
      </c>
      <c r="J509" s="14">
        <v>164.8</v>
      </c>
      <c r="K509" s="13">
        <v>0</v>
      </c>
      <c r="L509" s="13">
        <v>0</v>
      </c>
      <c r="M509" s="13">
        <v>0</v>
      </c>
      <c r="N509" s="13">
        <v>0</v>
      </c>
      <c r="O509" s="13">
        <v>0</v>
      </c>
      <c r="P509" s="81" t="s">
        <v>272</v>
      </c>
      <c r="Q509" s="123">
        <v>509</v>
      </c>
      <c r="R509" s="123"/>
      <c r="S509" s="123"/>
      <c r="T509" s="13">
        <f>LISTA[[#This Row],[TARIFA OUT ]]+LISTA[[#This Row],[TARIFA IN]]+LISTA[[#This Row],[VALOR FINAL]]</f>
        <v>0</v>
      </c>
    </row>
    <row r="510" spans="1:20" x14ac:dyDescent="0.2">
      <c r="A510" s="13" t="s">
        <v>14</v>
      </c>
      <c r="B510" s="190">
        <v>44889</v>
      </c>
      <c r="C510" s="14" t="s">
        <v>90</v>
      </c>
      <c r="D510" s="14" t="s">
        <v>812</v>
      </c>
      <c r="E510" s="14" t="s">
        <v>813</v>
      </c>
      <c r="F510" s="14" t="s">
        <v>640</v>
      </c>
      <c r="G510" s="14" t="s">
        <v>39</v>
      </c>
      <c r="H510" s="14"/>
      <c r="I510" s="14" t="s">
        <v>203</v>
      </c>
      <c r="J510" s="14">
        <v>3651.56</v>
      </c>
      <c r="K510" s="13">
        <v>0</v>
      </c>
      <c r="L510" s="13">
        <v>18184.77</v>
      </c>
      <c r="M510" s="13">
        <v>0</v>
      </c>
      <c r="N510" s="13">
        <v>0</v>
      </c>
      <c r="O510" s="76">
        <v>18184.77</v>
      </c>
      <c r="P510" s="81" t="s">
        <v>272</v>
      </c>
      <c r="Q510" s="123">
        <v>510</v>
      </c>
      <c r="R510" s="123"/>
      <c r="S510" s="123"/>
      <c r="T510" s="13">
        <f>LISTA[[#This Row],[TARIFA OUT ]]+LISTA[[#This Row],[TARIFA IN]]+LISTA[[#This Row],[VALOR FINAL]]</f>
        <v>18184.77</v>
      </c>
    </row>
    <row r="511" spans="1:20" x14ac:dyDescent="0.2">
      <c r="A511" s="13" t="s">
        <v>14</v>
      </c>
      <c r="B511" s="190">
        <v>44889</v>
      </c>
      <c r="C511" s="14" t="s">
        <v>90</v>
      </c>
      <c r="D511" s="14" t="s">
        <v>814</v>
      </c>
      <c r="E511" s="14" t="s">
        <v>438</v>
      </c>
      <c r="F511" s="14" t="s">
        <v>123</v>
      </c>
      <c r="G511" s="14" t="s">
        <v>39</v>
      </c>
      <c r="H511" s="14"/>
      <c r="I511" s="14" t="s">
        <v>441</v>
      </c>
      <c r="J511" s="14">
        <v>5592.86</v>
      </c>
      <c r="K511" s="13">
        <v>0</v>
      </c>
      <c r="L511" s="13">
        <v>28355.8</v>
      </c>
      <c r="M511" s="13">
        <v>0</v>
      </c>
      <c r="N511" s="13">
        <v>0</v>
      </c>
      <c r="O511" s="76">
        <v>28355.8</v>
      </c>
      <c r="P511" s="81" t="s">
        <v>272</v>
      </c>
      <c r="Q511" s="123">
        <v>511</v>
      </c>
      <c r="R511" s="123"/>
      <c r="S511" s="123"/>
      <c r="T511" s="13">
        <f>LISTA[[#This Row],[TARIFA OUT ]]+LISTA[[#This Row],[TARIFA IN]]+LISTA[[#This Row],[VALOR FINAL]]</f>
        <v>28355.8</v>
      </c>
    </row>
    <row r="512" spans="1:20" x14ac:dyDescent="0.2">
      <c r="A512" s="13" t="s">
        <v>14</v>
      </c>
      <c r="B512" s="190">
        <v>44889</v>
      </c>
      <c r="C512" s="14" t="s">
        <v>90</v>
      </c>
      <c r="D512" s="14" t="s">
        <v>815</v>
      </c>
      <c r="E512" s="14" t="s">
        <v>438</v>
      </c>
      <c r="F512" s="14" t="s">
        <v>123</v>
      </c>
      <c r="G512" s="14" t="s">
        <v>39</v>
      </c>
      <c r="H512" s="14"/>
      <c r="I512" s="14" t="s">
        <v>441</v>
      </c>
      <c r="J512" s="14">
        <v>760</v>
      </c>
      <c r="K512" s="13">
        <v>0</v>
      </c>
      <c r="L512" s="13">
        <v>3868.4</v>
      </c>
      <c r="M512" s="13">
        <v>0</v>
      </c>
      <c r="N512" s="13">
        <v>0</v>
      </c>
      <c r="O512" s="76">
        <v>3868.4</v>
      </c>
      <c r="P512" s="81" t="s">
        <v>272</v>
      </c>
      <c r="Q512" s="123">
        <v>512</v>
      </c>
      <c r="R512" s="123"/>
      <c r="S512" s="123"/>
      <c r="T512" s="13">
        <f>LISTA[[#This Row],[TARIFA OUT ]]+LISTA[[#This Row],[TARIFA IN]]+LISTA[[#This Row],[VALOR FINAL]]</f>
        <v>3868.4</v>
      </c>
    </row>
    <row r="513" spans="1:20" x14ac:dyDescent="0.2">
      <c r="A513" s="13" t="s">
        <v>14</v>
      </c>
      <c r="B513" s="190">
        <v>44889</v>
      </c>
      <c r="C513" s="14" t="s">
        <v>90</v>
      </c>
      <c r="D513" s="14">
        <v>1611</v>
      </c>
      <c r="E513" s="14" t="s">
        <v>438</v>
      </c>
      <c r="F513" s="14" t="s">
        <v>123</v>
      </c>
      <c r="G513" s="14" t="s">
        <v>39</v>
      </c>
      <c r="H513" s="14"/>
      <c r="I513" s="14" t="s">
        <v>653</v>
      </c>
      <c r="J513" s="14">
        <v>10</v>
      </c>
      <c r="K513" s="13">
        <v>0</v>
      </c>
      <c r="L513" s="13">
        <v>1036.48</v>
      </c>
      <c r="M513" s="13">
        <v>0</v>
      </c>
      <c r="N513" s="13">
        <v>0</v>
      </c>
      <c r="O513" s="76">
        <v>1036.48</v>
      </c>
      <c r="P513" s="81" t="s">
        <v>272</v>
      </c>
      <c r="Q513" s="123">
        <v>513</v>
      </c>
      <c r="R513" s="123"/>
      <c r="S513" s="123"/>
      <c r="T513" s="13">
        <f>LISTA[[#This Row],[TARIFA OUT ]]+LISTA[[#This Row],[TARIFA IN]]+LISTA[[#This Row],[VALOR FINAL]]</f>
        <v>1036.48</v>
      </c>
    </row>
    <row r="514" spans="1:20" x14ac:dyDescent="0.2">
      <c r="A514" s="13" t="s">
        <v>82</v>
      </c>
      <c r="B514" s="190">
        <v>44890</v>
      </c>
      <c r="C514" s="14" t="s">
        <v>47</v>
      </c>
      <c r="D514" s="14">
        <v>22236</v>
      </c>
      <c r="E514" s="14" t="s">
        <v>172</v>
      </c>
      <c r="F514" s="14" t="s">
        <v>39</v>
      </c>
      <c r="G514" s="14" t="s">
        <v>39</v>
      </c>
      <c r="H514" s="14"/>
      <c r="I514" s="14" t="s">
        <v>45</v>
      </c>
      <c r="J514" s="14">
        <v>23783</v>
      </c>
      <c r="K514" s="13">
        <v>43077.1</v>
      </c>
      <c r="L514" s="13">
        <v>0</v>
      </c>
      <c r="M514" s="13">
        <v>0</v>
      </c>
      <c r="N514" s="13">
        <v>0</v>
      </c>
      <c r="O514" s="76">
        <v>0</v>
      </c>
      <c r="P514" s="81" t="s">
        <v>272</v>
      </c>
      <c r="Q514" s="123">
        <v>514</v>
      </c>
      <c r="R514" s="123"/>
      <c r="S514" s="123"/>
      <c r="T514" s="13">
        <f>LISTA[[#This Row],[TARIFA OUT ]]+LISTA[[#This Row],[TARIFA IN]]+LISTA[[#This Row],[VALOR FINAL]]</f>
        <v>0</v>
      </c>
    </row>
    <row r="515" spans="1:20" x14ac:dyDescent="0.2">
      <c r="A515" s="13"/>
      <c r="B515" s="190"/>
      <c r="C515" s="14"/>
      <c r="D515" s="14"/>
      <c r="E515" s="14"/>
      <c r="F515" s="14"/>
      <c r="G515" s="14"/>
      <c r="H515" s="14"/>
      <c r="I515" s="14"/>
      <c r="J515" s="14"/>
      <c r="K515" s="13"/>
      <c r="L515" s="13"/>
      <c r="M515" s="13"/>
      <c r="N515" s="13"/>
      <c r="O515" s="76"/>
      <c r="P515" s="81"/>
      <c r="Q515" s="123"/>
      <c r="R515" s="123"/>
      <c r="S515" s="123"/>
      <c r="T515" s="13">
        <f>LISTA[[#This Row],[TARIFA OUT ]]+LISTA[[#This Row],[TARIFA IN]]+LISTA[[#This Row],[VALOR FINAL]]</f>
        <v>0</v>
      </c>
    </row>
    <row r="516" spans="1:20" x14ac:dyDescent="0.2">
      <c r="A516" s="13"/>
      <c r="B516" s="190"/>
      <c r="C516" s="14"/>
      <c r="D516" s="14"/>
      <c r="E516" s="14"/>
      <c r="F516" s="14"/>
      <c r="G516" s="14"/>
      <c r="H516" s="14"/>
      <c r="I516" s="14"/>
      <c r="J516" s="14"/>
      <c r="K516" s="13"/>
      <c r="L516" s="13"/>
      <c r="M516" s="13"/>
      <c r="N516" s="13"/>
      <c r="O516" s="76"/>
      <c r="P516" s="81"/>
      <c r="Q516" s="123"/>
      <c r="R516" s="123"/>
      <c r="S516" s="123"/>
      <c r="T516" s="13">
        <f>LISTA[[#This Row],[TARIFA OUT ]]+LISTA[[#This Row],[TARIFA IN]]+LISTA[[#This Row],[VALOR FINAL]]</f>
        <v>0</v>
      </c>
    </row>
    <row r="517" spans="1:20" x14ac:dyDescent="0.2">
      <c r="A517" s="13"/>
      <c r="B517" s="190"/>
      <c r="C517" s="14"/>
      <c r="D517" s="14"/>
      <c r="E517" s="14"/>
      <c r="F517" s="14"/>
      <c r="G517" s="14"/>
      <c r="H517" s="14"/>
      <c r="I517" s="14"/>
      <c r="J517" s="14"/>
      <c r="K517" s="13"/>
      <c r="L517" s="13"/>
      <c r="M517" s="13"/>
      <c r="N517" s="13"/>
      <c r="O517" s="76"/>
      <c r="P517" s="81"/>
      <c r="Q517" s="123"/>
      <c r="R517" s="123"/>
      <c r="S517" s="123"/>
      <c r="T517" s="13">
        <f>LISTA[[#This Row],[TARIFA OUT ]]+LISTA[[#This Row],[TARIFA IN]]+LISTA[[#This Row],[VALOR FINAL]]</f>
        <v>0</v>
      </c>
    </row>
    <row r="518" spans="1:20" x14ac:dyDescent="0.2">
      <c r="A518" s="13"/>
      <c r="B518" s="190"/>
      <c r="C518" s="14"/>
      <c r="D518" s="14"/>
      <c r="E518" s="14"/>
      <c r="F518" s="14"/>
      <c r="G518" s="14"/>
      <c r="H518" s="14"/>
      <c r="I518" s="14"/>
      <c r="J518" s="14"/>
      <c r="K518" s="13"/>
      <c r="L518" s="13"/>
      <c r="M518" s="13"/>
      <c r="N518" s="13"/>
      <c r="O518" s="76"/>
      <c r="P518" s="81"/>
      <c r="Q518" s="123"/>
      <c r="R518" s="123"/>
      <c r="S518" s="123"/>
      <c r="T518" s="13">
        <f>LISTA[[#This Row],[TARIFA OUT ]]+LISTA[[#This Row],[TARIFA IN]]+LISTA[[#This Row],[VALOR FINAL]]</f>
        <v>0</v>
      </c>
    </row>
    <row r="519" spans="1:20" x14ac:dyDescent="0.2">
      <c r="A519" s="13"/>
      <c r="B519" s="190"/>
      <c r="C519" s="14"/>
      <c r="D519" s="14"/>
      <c r="E519" s="14"/>
      <c r="F519" s="14"/>
      <c r="G519" s="14"/>
      <c r="H519" s="14"/>
      <c r="I519" s="14"/>
      <c r="J519" s="14"/>
      <c r="K519" s="13"/>
      <c r="L519" s="13"/>
      <c r="M519" s="13"/>
      <c r="N519" s="13"/>
      <c r="O519" s="76"/>
      <c r="P519" s="81"/>
      <c r="Q519" s="123"/>
      <c r="R519" s="123"/>
      <c r="S519" s="123"/>
      <c r="T519" s="13">
        <f>LISTA[[#This Row],[TARIFA OUT ]]+LISTA[[#This Row],[TARIFA IN]]+LISTA[[#This Row],[VALOR FINAL]]</f>
        <v>0</v>
      </c>
    </row>
    <row r="520" spans="1:20" x14ac:dyDescent="0.2">
      <c r="A520" s="13"/>
      <c r="B520" s="190"/>
      <c r="C520" s="14"/>
      <c r="D520" s="14"/>
      <c r="E520" s="14"/>
      <c r="F520" s="14"/>
      <c r="G520" s="14"/>
      <c r="H520" s="14"/>
      <c r="I520" s="14"/>
      <c r="J520" s="14"/>
      <c r="K520" s="13"/>
      <c r="L520" s="13"/>
      <c r="M520" s="13"/>
      <c r="N520" s="13"/>
      <c r="O520" s="76"/>
      <c r="P520" s="81"/>
      <c r="Q520" s="123"/>
      <c r="R520" s="123"/>
      <c r="S520" s="123"/>
      <c r="T520" s="13">
        <f>LISTA[[#This Row],[TARIFA OUT ]]+LISTA[[#This Row],[TARIFA IN]]+LISTA[[#This Row],[VALOR FINAL]]</f>
        <v>0</v>
      </c>
    </row>
    <row r="521" spans="1:20" x14ac:dyDescent="0.2">
      <c r="A521" s="13"/>
      <c r="B521" s="190"/>
      <c r="C521" s="14"/>
      <c r="D521" s="14"/>
      <c r="E521" s="14"/>
      <c r="F521" s="14"/>
      <c r="G521" s="14"/>
      <c r="H521" s="14"/>
      <c r="I521" s="14"/>
      <c r="J521" s="14"/>
      <c r="K521" s="13"/>
      <c r="L521" s="13"/>
      <c r="M521" s="13"/>
      <c r="N521" s="13"/>
      <c r="O521" s="76"/>
      <c r="P521" s="81"/>
      <c r="Q521" s="123"/>
      <c r="R521" s="123"/>
      <c r="S521" s="123"/>
      <c r="T521" s="13">
        <f>LISTA[[#This Row],[TARIFA OUT ]]+LISTA[[#This Row],[TARIFA IN]]+LISTA[[#This Row],[VALOR FINAL]]</f>
        <v>0</v>
      </c>
    </row>
    <row r="522" spans="1:20" x14ac:dyDescent="0.2">
      <c r="A522" s="13"/>
      <c r="B522" s="190"/>
      <c r="C522" s="14"/>
      <c r="D522" s="14"/>
      <c r="E522" s="14"/>
      <c r="F522" s="14"/>
      <c r="G522" s="14"/>
      <c r="H522" s="14"/>
      <c r="I522" s="14"/>
      <c r="J522" s="14"/>
      <c r="K522" s="13"/>
      <c r="L522" s="13"/>
      <c r="M522" s="13"/>
      <c r="N522" s="13"/>
      <c r="O522" s="76"/>
      <c r="P522" s="81"/>
      <c r="Q522" s="123"/>
      <c r="R522" s="123"/>
      <c r="S522" s="123"/>
      <c r="T522" s="13">
        <f>LISTA[[#This Row],[TARIFA OUT ]]+LISTA[[#This Row],[TARIFA IN]]+LISTA[[#This Row],[VALOR FINAL]]</f>
        <v>0</v>
      </c>
    </row>
    <row r="523" spans="1:20" x14ac:dyDescent="0.2">
      <c r="A523" s="13"/>
      <c r="B523" s="190"/>
      <c r="C523" s="14"/>
      <c r="D523" s="14"/>
      <c r="E523" s="14"/>
      <c r="F523" s="14"/>
      <c r="G523" s="14"/>
      <c r="H523" s="14"/>
      <c r="I523" s="14"/>
      <c r="J523" s="14"/>
      <c r="K523" s="13"/>
      <c r="L523" s="13"/>
      <c r="M523" s="13"/>
      <c r="N523" s="13"/>
      <c r="O523" s="76"/>
      <c r="P523" s="81"/>
      <c r="Q523" s="123"/>
      <c r="R523" s="123"/>
      <c r="S523" s="123"/>
      <c r="T523" s="13">
        <f>LISTA[[#This Row],[TARIFA OUT ]]+LISTA[[#This Row],[TARIFA IN]]+LISTA[[#This Row],[VALOR FINAL]]</f>
        <v>0</v>
      </c>
    </row>
    <row r="524" spans="1:20" x14ac:dyDescent="0.2">
      <c r="A524" s="13"/>
      <c r="B524" s="190"/>
      <c r="C524" s="14"/>
      <c r="D524" s="14"/>
      <c r="E524" s="14"/>
      <c r="F524" s="14"/>
      <c r="G524" s="14"/>
      <c r="H524" s="14"/>
      <c r="I524" s="14"/>
      <c r="J524" s="14"/>
      <c r="K524" s="13"/>
      <c r="L524" s="13"/>
      <c r="M524" s="13"/>
      <c r="N524" s="13"/>
      <c r="O524" s="76"/>
      <c r="P524" s="81"/>
      <c r="Q524" s="123"/>
      <c r="R524" s="123"/>
      <c r="S524" s="123"/>
      <c r="T524" s="13">
        <f>LISTA[[#This Row],[TARIFA OUT ]]+LISTA[[#This Row],[TARIFA IN]]+LISTA[[#This Row],[VALOR FINAL]]</f>
        <v>0</v>
      </c>
    </row>
    <row r="525" spans="1:20" x14ac:dyDescent="0.2">
      <c r="A525" s="13"/>
      <c r="B525" s="190"/>
      <c r="C525" s="14"/>
      <c r="D525" s="14"/>
      <c r="E525" s="14"/>
      <c r="F525" s="14"/>
      <c r="G525" s="14"/>
      <c r="H525" s="14"/>
      <c r="I525" s="14"/>
      <c r="J525" s="14"/>
      <c r="K525" s="13"/>
      <c r="L525" s="13"/>
      <c r="M525" s="13"/>
      <c r="N525" s="13"/>
      <c r="O525" s="76"/>
      <c r="P525" s="81"/>
      <c r="Q525" s="123"/>
      <c r="R525" s="123"/>
      <c r="S525" s="123"/>
      <c r="T525" s="13">
        <f>LISTA[[#This Row],[TARIFA OUT ]]+LISTA[[#This Row],[TARIFA IN]]+LISTA[[#This Row],[VALOR FINAL]]</f>
        <v>0</v>
      </c>
    </row>
    <row r="526" spans="1:20" x14ac:dyDescent="0.2">
      <c r="A526" s="13"/>
      <c r="B526" s="190"/>
      <c r="C526" s="14"/>
      <c r="D526" s="14"/>
      <c r="E526" s="14"/>
      <c r="F526" s="14"/>
      <c r="G526" s="14"/>
      <c r="H526" s="14"/>
      <c r="I526" s="14"/>
      <c r="J526" s="14"/>
      <c r="K526" s="13"/>
      <c r="L526" s="13"/>
      <c r="M526" s="13"/>
      <c r="N526" s="13"/>
      <c r="O526" s="76"/>
      <c r="P526" s="81"/>
      <c r="Q526" s="123"/>
      <c r="R526" s="123"/>
      <c r="S526" s="123"/>
      <c r="T526" s="13">
        <f>LISTA[[#This Row],[TARIFA OUT ]]+LISTA[[#This Row],[TARIFA IN]]+LISTA[[#This Row],[VALOR FINAL]]</f>
        <v>0</v>
      </c>
    </row>
    <row r="527" spans="1:20" x14ac:dyDescent="0.2">
      <c r="A527" s="13"/>
      <c r="B527" s="190"/>
      <c r="C527" s="14"/>
      <c r="D527" s="14"/>
      <c r="E527" s="14"/>
      <c r="F527" s="14"/>
      <c r="G527" s="14"/>
      <c r="H527" s="14"/>
      <c r="I527" s="14"/>
      <c r="J527" s="14"/>
      <c r="K527" s="13"/>
      <c r="L527" s="13"/>
      <c r="M527" s="13"/>
      <c r="N527" s="13"/>
      <c r="O527" s="76"/>
      <c r="P527" s="81"/>
      <c r="Q527" s="123"/>
      <c r="R527" s="123"/>
      <c r="S527" s="123"/>
      <c r="T527" s="13">
        <f>LISTA[[#This Row],[TARIFA OUT ]]+LISTA[[#This Row],[TARIFA IN]]+LISTA[[#This Row],[VALOR FINAL]]</f>
        <v>0</v>
      </c>
    </row>
    <row r="528" spans="1:20" x14ac:dyDescent="0.2">
      <c r="A528" s="13"/>
      <c r="B528" s="190"/>
      <c r="C528" s="14"/>
      <c r="D528" s="14"/>
      <c r="E528" s="14"/>
      <c r="F528" s="14"/>
      <c r="G528" s="14"/>
      <c r="H528" s="14"/>
      <c r="I528" s="14"/>
      <c r="J528" s="14"/>
      <c r="K528" s="13"/>
      <c r="L528" s="13"/>
      <c r="M528" s="13"/>
      <c r="N528" s="13"/>
      <c r="O528" s="76"/>
      <c r="P528" s="81"/>
      <c r="Q528" s="123"/>
      <c r="R528" s="123"/>
      <c r="S528" s="123"/>
      <c r="T528" s="13">
        <f>LISTA[[#This Row],[TARIFA OUT ]]+LISTA[[#This Row],[TARIFA IN]]+LISTA[[#This Row],[VALOR FINAL]]</f>
        <v>0</v>
      </c>
    </row>
    <row r="529" spans="1:20" x14ac:dyDescent="0.2">
      <c r="A529" s="13"/>
      <c r="B529" s="190"/>
      <c r="C529" s="14"/>
      <c r="D529" s="14"/>
      <c r="E529" s="14"/>
      <c r="F529" s="14"/>
      <c r="G529" s="14"/>
      <c r="H529" s="14"/>
      <c r="I529" s="14"/>
      <c r="J529" s="14"/>
      <c r="K529" s="13"/>
      <c r="L529" s="13"/>
      <c r="M529" s="13"/>
      <c r="N529" s="13"/>
      <c r="O529" s="76"/>
      <c r="P529" s="81"/>
      <c r="Q529" s="123"/>
      <c r="R529" s="123"/>
      <c r="S529" s="123"/>
      <c r="T529" s="13">
        <f>LISTA[[#This Row],[TARIFA OUT ]]+LISTA[[#This Row],[TARIFA IN]]+LISTA[[#This Row],[VALOR FINAL]]</f>
        <v>0</v>
      </c>
    </row>
    <row r="530" spans="1:20" x14ac:dyDescent="0.2">
      <c r="A530" s="13"/>
      <c r="B530" s="190"/>
      <c r="C530" s="14"/>
      <c r="D530" s="14"/>
      <c r="E530" s="14"/>
      <c r="F530" s="14"/>
      <c r="G530" s="14"/>
      <c r="H530" s="14"/>
      <c r="I530" s="14"/>
      <c r="J530" s="14"/>
      <c r="K530" s="13"/>
      <c r="L530" s="13"/>
      <c r="M530" s="13"/>
      <c r="N530" s="13"/>
      <c r="O530" s="76"/>
      <c r="P530" s="81"/>
      <c r="Q530" s="123"/>
      <c r="R530" s="123"/>
      <c r="S530" s="123"/>
      <c r="T530" s="13">
        <f>LISTA[[#This Row],[TARIFA OUT ]]+LISTA[[#This Row],[TARIFA IN]]+LISTA[[#This Row],[VALOR FINAL]]</f>
        <v>0</v>
      </c>
    </row>
    <row r="531" spans="1:20" x14ac:dyDescent="0.2">
      <c r="A531" s="13"/>
      <c r="B531" s="190"/>
      <c r="C531" s="14"/>
      <c r="D531" s="14"/>
      <c r="E531" s="14"/>
      <c r="F531" s="14"/>
      <c r="G531" s="14"/>
      <c r="H531" s="14"/>
      <c r="I531" s="14"/>
      <c r="J531" s="14"/>
      <c r="K531" s="13"/>
      <c r="L531" s="13"/>
      <c r="M531" s="13"/>
      <c r="N531" s="13"/>
      <c r="O531" s="76"/>
      <c r="P531" s="81"/>
      <c r="Q531" s="123"/>
      <c r="R531" s="123"/>
      <c r="S531" s="123"/>
      <c r="T531" s="13">
        <f>LISTA[[#This Row],[TARIFA OUT ]]+LISTA[[#This Row],[TARIFA IN]]+LISTA[[#This Row],[VALOR FINAL]]</f>
        <v>0</v>
      </c>
    </row>
    <row r="532" spans="1:20" x14ac:dyDescent="0.2">
      <c r="A532" s="13"/>
      <c r="B532" s="190"/>
      <c r="C532" s="14"/>
      <c r="D532" s="14"/>
      <c r="E532" s="14"/>
      <c r="F532" s="14"/>
      <c r="G532" s="14"/>
      <c r="H532" s="14"/>
      <c r="I532" s="14"/>
      <c r="J532" s="14"/>
      <c r="K532" s="13"/>
      <c r="L532" s="13"/>
      <c r="M532" s="13"/>
      <c r="N532" s="13"/>
      <c r="O532" s="76"/>
      <c r="P532" s="81"/>
      <c r="Q532" s="123"/>
      <c r="R532" s="123"/>
      <c r="S532" s="123"/>
      <c r="T532" s="13">
        <f>LISTA[[#This Row],[TARIFA OUT ]]+LISTA[[#This Row],[TARIFA IN]]+LISTA[[#This Row],[VALOR FINAL]]</f>
        <v>0</v>
      </c>
    </row>
    <row r="533" spans="1:20" x14ac:dyDescent="0.2">
      <c r="A533" s="13"/>
      <c r="B533" s="190"/>
      <c r="C533" s="14"/>
      <c r="D533" s="14"/>
      <c r="E533" s="14"/>
      <c r="F533" s="14"/>
      <c r="G533" s="14"/>
      <c r="H533" s="14"/>
      <c r="I533" s="14"/>
      <c r="J533" s="14"/>
      <c r="K533" s="13"/>
      <c r="L533" s="13"/>
      <c r="M533" s="13"/>
      <c r="N533" s="13"/>
      <c r="O533" s="76"/>
      <c r="P533" s="81"/>
      <c r="Q533" s="123"/>
      <c r="R533" s="123"/>
      <c r="S533" s="123"/>
      <c r="T533" s="13">
        <f>LISTA[[#This Row],[TARIFA OUT ]]+LISTA[[#This Row],[TARIFA IN]]+LISTA[[#This Row],[VALOR FINAL]]</f>
        <v>0</v>
      </c>
    </row>
    <row r="534" spans="1:20" x14ac:dyDescent="0.2">
      <c r="A534" s="13"/>
      <c r="B534" s="190"/>
      <c r="C534" s="14"/>
      <c r="D534" s="14"/>
      <c r="E534" s="14"/>
      <c r="F534" s="14"/>
      <c r="G534" s="14"/>
      <c r="H534" s="14"/>
      <c r="I534" s="14"/>
      <c r="J534" s="14"/>
      <c r="K534" s="13"/>
      <c r="L534" s="13"/>
      <c r="M534" s="13"/>
      <c r="N534" s="13"/>
      <c r="O534" s="76"/>
      <c r="P534" s="81"/>
      <c r="Q534" s="123"/>
      <c r="R534" s="123"/>
      <c r="S534" s="123"/>
      <c r="T534" s="13">
        <f>LISTA[[#This Row],[TARIFA OUT ]]+LISTA[[#This Row],[TARIFA IN]]+LISTA[[#This Row],[VALOR FINAL]]</f>
        <v>0</v>
      </c>
    </row>
    <row r="535" spans="1:20" x14ac:dyDescent="0.2">
      <c r="A535" s="13"/>
      <c r="B535" s="190"/>
      <c r="C535" s="14"/>
      <c r="D535" s="14"/>
      <c r="E535" s="14"/>
      <c r="F535" s="14"/>
      <c r="G535" s="14"/>
      <c r="H535" s="14"/>
      <c r="I535" s="14"/>
      <c r="J535" s="14"/>
      <c r="K535" s="13"/>
      <c r="L535" s="13"/>
      <c r="M535" s="13"/>
      <c r="N535" s="13"/>
      <c r="O535" s="76"/>
      <c r="P535" s="81"/>
      <c r="Q535" s="123"/>
      <c r="R535" s="123"/>
      <c r="S535" s="123"/>
      <c r="T535" s="13">
        <f>LISTA[[#This Row],[TARIFA OUT ]]+LISTA[[#This Row],[TARIFA IN]]+LISTA[[#This Row],[VALOR FINAL]]</f>
        <v>0</v>
      </c>
    </row>
    <row r="536" spans="1:20" x14ac:dyDescent="0.2">
      <c r="A536" s="13"/>
      <c r="B536" s="190"/>
      <c r="C536" s="14"/>
      <c r="D536" s="14"/>
      <c r="E536" s="14"/>
      <c r="F536" s="14"/>
      <c r="G536" s="14"/>
      <c r="H536" s="14"/>
      <c r="I536" s="14"/>
      <c r="J536" s="14"/>
      <c r="K536" s="13"/>
      <c r="L536" s="13"/>
      <c r="M536" s="13"/>
      <c r="N536" s="13"/>
      <c r="O536" s="76"/>
      <c r="P536" s="81"/>
      <c r="Q536" s="123"/>
      <c r="R536" s="123"/>
      <c r="S536" s="123"/>
      <c r="T536" s="13">
        <f>LISTA[[#This Row],[TARIFA OUT ]]+LISTA[[#This Row],[TARIFA IN]]+LISTA[[#This Row],[VALOR FINAL]]</f>
        <v>0</v>
      </c>
    </row>
    <row r="537" spans="1:20" x14ac:dyDescent="0.2">
      <c r="A537" s="13"/>
      <c r="B537" s="190"/>
      <c r="C537" s="14"/>
      <c r="D537" s="14"/>
      <c r="E537" s="14"/>
      <c r="F537" s="14"/>
      <c r="G537" s="14"/>
      <c r="H537" s="14"/>
      <c r="I537" s="14"/>
      <c r="J537" s="14"/>
      <c r="K537" s="13"/>
      <c r="L537" s="13"/>
      <c r="M537" s="13"/>
      <c r="N537" s="13"/>
      <c r="O537" s="76"/>
      <c r="P537" s="81"/>
      <c r="Q537" s="123"/>
      <c r="R537" s="123"/>
      <c r="S537" s="123"/>
      <c r="T537" s="13">
        <f>LISTA[[#This Row],[TARIFA OUT ]]+LISTA[[#This Row],[TARIFA IN]]+LISTA[[#This Row],[VALOR FINAL]]</f>
        <v>0</v>
      </c>
    </row>
    <row r="538" spans="1:20" x14ac:dyDescent="0.2">
      <c r="A538" s="13"/>
      <c r="B538" s="190"/>
      <c r="C538" s="14"/>
      <c r="D538" s="14"/>
      <c r="E538" s="14"/>
      <c r="F538" s="14"/>
      <c r="G538" s="14"/>
      <c r="H538" s="14"/>
      <c r="I538" s="14"/>
      <c r="J538" s="14"/>
      <c r="K538" s="13"/>
      <c r="L538" s="13"/>
      <c r="M538" s="13"/>
      <c r="N538" s="13"/>
      <c r="O538" s="13"/>
      <c r="P538" s="81"/>
      <c r="Q538" s="123"/>
      <c r="R538" s="123"/>
      <c r="S538" s="123"/>
      <c r="T538" s="13">
        <f>LISTA[[#This Row],[TARIFA OUT ]]+LISTA[[#This Row],[TARIFA IN]]+LISTA[[#This Row],[VALOR FINAL]]</f>
        <v>0</v>
      </c>
    </row>
    <row r="539" spans="1:20" x14ac:dyDescent="0.2">
      <c r="A539" s="13"/>
      <c r="B539" s="190"/>
      <c r="C539" s="14"/>
      <c r="D539" s="14"/>
      <c r="E539" s="14"/>
      <c r="F539" s="14"/>
      <c r="G539" s="14"/>
      <c r="H539" s="14"/>
      <c r="I539" s="14"/>
      <c r="J539" s="14"/>
      <c r="K539" s="13"/>
      <c r="L539" s="13"/>
      <c r="M539" s="13"/>
      <c r="N539" s="13"/>
      <c r="O539" s="13"/>
      <c r="P539" s="81"/>
      <c r="Q539" s="123"/>
      <c r="R539" s="123"/>
      <c r="S539" s="123"/>
      <c r="T539" s="13">
        <f>LISTA[[#This Row],[TARIFA OUT ]]+LISTA[[#This Row],[TARIFA IN]]+LISTA[[#This Row],[VALOR FINAL]]</f>
        <v>0</v>
      </c>
    </row>
    <row r="540" spans="1:20" x14ac:dyDescent="0.2">
      <c r="A540" s="13"/>
      <c r="B540" s="190"/>
      <c r="C540" s="14"/>
      <c r="D540" s="14"/>
      <c r="E540" s="14"/>
      <c r="F540" s="14"/>
      <c r="G540" s="14"/>
      <c r="H540" s="14"/>
      <c r="I540" s="14"/>
      <c r="J540" s="14"/>
      <c r="K540" s="13"/>
      <c r="L540" s="13"/>
      <c r="M540" s="13"/>
      <c r="N540" s="13"/>
      <c r="O540" s="13"/>
      <c r="P540" s="81"/>
      <c r="Q540" s="123"/>
      <c r="R540" s="123"/>
      <c r="S540" s="123"/>
      <c r="T540" s="13">
        <f>LISTA[[#This Row],[TARIFA OUT ]]+LISTA[[#This Row],[TARIFA IN]]+LISTA[[#This Row],[VALOR FINAL]]</f>
        <v>0</v>
      </c>
    </row>
    <row r="541" spans="1:20" x14ac:dyDescent="0.2">
      <c r="A541" s="13"/>
      <c r="B541" s="190"/>
      <c r="C541" s="14"/>
      <c r="D541" s="14"/>
      <c r="E541" s="14"/>
      <c r="F541" s="14"/>
      <c r="G541" s="14"/>
      <c r="H541" s="14"/>
      <c r="I541" s="14"/>
      <c r="J541" s="14"/>
      <c r="K541" s="13"/>
      <c r="L541" s="13"/>
      <c r="M541" s="13"/>
      <c r="N541" s="13"/>
      <c r="O541" s="13"/>
      <c r="P541" s="81"/>
      <c r="Q541" s="123"/>
      <c r="R541" s="123"/>
      <c r="S541" s="123"/>
      <c r="T541" s="13">
        <f>LISTA[[#This Row],[TARIFA OUT ]]+LISTA[[#This Row],[TARIFA IN]]+LISTA[[#This Row],[VALOR FINAL]]</f>
        <v>0</v>
      </c>
    </row>
    <row r="542" spans="1:20" x14ac:dyDescent="0.2">
      <c r="A542" s="13"/>
      <c r="B542" s="190"/>
      <c r="C542" s="14"/>
      <c r="D542" s="14"/>
      <c r="E542" s="14"/>
      <c r="F542" s="14"/>
      <c r="G542" s="14"/>
      <c r="H542" s="14"/>
      <c r="I542" s="14"/>
      <c r="J542" s="14"/>
      <c r="K542" s="13"/>
      <c r="L542" s="13"/>
      <c r="M542" s="13"/>
      <c r="N542" s="13"/>
      <c r="O542" s="13"/>
      <c r="P542" s="81"/>
      <c r="Q542" s="123"/>
      <c r="R542" s="123"/>
      <c r="S542" s="123"/>
      <c r="T542" s="13">
        <f>LISTA[[#This Row],[TARIFA OUT ]]+LISTA[[#This Row],[TARIFA IN]]+LISTA[[#This Row],[VALOR FINAL]]</f>
        <v>0</v>
      </c>
    </row>
    <row r="543" spans="1:20" x14ac:dyDescent="0.2">
      <c r="A543" s="13"/>
      <c r="B543" s="190"/>
      <c r="C543" s="14"/>
      <c r="D543" s="14"/>
      <c r="E543" s="14"/>
      <c r="F543" s="14"/>
      <c r="G543" s="14"/>
      <c r="H543" s="14"/>
      <c r="I543" s="14"/>
      <c r="J543" s="14"/>
      <c r="K543" s="13"/>
      <c r="L543" s="13"/>
      <c r="M543" s="13"/>
      <c r="N543" s="13"/>
      <c r="O543" s="13"/>
      <c r="P543" s="81"/>
      <c r="Q543" s="123"/>
      <c r="R543" s="123"/>
      <c r="S543" s="123"/>
      <c r="T543" s="13">
        <f>LISTA[[#This Row],[TARIFA OUT ]]+LISTA[[#This Row],[TARIFA IN]]+LISTA[[#This Row],[VALOR FINAL]]</f>
        <v>0</v>
      </c>
    </row>
    <row r="544" spans="1:20" x14ac:dyDescent="0.2">
      <c r="A544" s="13"/>
      <c r="B544" s="190"/>
      <c r="C544" s="14"/>
      <c r="D544" s="14"/>
      <c r="E544" s="14"/>
      <c r="F544" s="14"/>
      <c r="G544" s="14"/>
      <c r="H544" s="14"/>
      <c r="I544" s="14"/>
      <c r="J544" s="14"/>
      <c r="K544" s="13"/>
      <c r="L544" s="13"/>
      <c r="M544" s="13"/>
      <c r="N544" s="13"/>
      <c r="O544" s="13"/>
      <c r="P544" s="81"/>
      <c r="Q544" s="123"/>
      <c r="R544" s="123"/>
      <c r="S544" s="123"/>
      <c r="T544" s="13">
        <f>LISTA[[#This Row],[TARIFA OUT ]]+LISTA[[#This Row],[TARIFA IN]]+LISTA[[#This Row],[VALOR FINAL]]</f>
        <v>0</v>
      </c>
    </row>
    <row r="545" spans="1:20" x14ac:dyDescent="0.2">
      <c r="A545" s="13"/>
      <c r="B545" s="190"/>
      <c r="C545" s="14"/>
      <c r="D545" s="14"/>
      <c r="E545" s="14"/>
      <c r="F545" s="14"/>
      <c r="G545" s="14"/>
      <c r="H545" s="14"/>
      <c r="I545" s="14"/>
      <c r="J545" s="14"/>
      <c r="K545" s="13"/>
      <c r="L545" s="13"/>
      <c r="M545" s="13"/>
      <c r="N545" s="13"/>
      <c r="O545" s="13"/>
      <c r="P545" s="81"/>
      <c r="Q545" s="123"/>
      <c r="R545" s="123"/>
      <c r="S545" s="123"/>
      <c r="T545" s="13">
        <f>LISTA[[#This Row],[TARIFA OUT ]]+LISTA[[#This Row],[TARIFA IN]]+LISTA[[#This Row],[VALOR FINAL]]</f>
        <v>0</v>
      </c>
    </row>
    <row r="546" spans="1:20" x14ac:dyDescent="0.2">
      <c r="A546" s="13"/>
      <c r="B546" s="190"/>
      <c r="C546" s="14"/>
      <c r="D546" s="14"/>
      <c r="E546" s="14"/>
      <c r="F546" s="14"/>
      <c r="G546" s="14"/>
      <c r="H546" s="14"/>
      <c r="I546" s="14"/>
      <c r="J546" s="14"/>
      <c r="K546" s="13"/>
      <c r="L546" s="13"/>
      <c r="M546" s="13"/>
      <c r="N546" s="13"/>
      <c r="O546" s="76"/>
      <c r="P546" s="81"/>
      <c r="Q546" s="123"/>
      <c r="R546" s="123"/>
      <c r="S546" s="123"/>
      <c r="T546" s="13">
        <f>LISTA[[#This Row],[TARIFA OUT ]]+LISTA[[#This Row],[TARIFA IN]]+LISTA[[#This Row],[VALOR FINAL]]</f>
        <v>0</v>
      </c>
    </row>
    <row r="547" spans="1:20" x14ac:dyDescent="0.2">
      <c r="A547" s="13"/>
      <c r="B547" s="190"/>
      <c r="C547" s="14"/>
      <c r="D547" s="14"/>
      <c r="E547" s="14"/>
      <c r="F547" s="14"/>
      <c r="G547" s="14"/>
      <c r="H547" s="14"/>
      <c r="I547" s="14"/>
      <c r="J547" s="14"/>
      <c r="K547" s="13"/>
      <c r="L547" s="13"/>
      <c r="M547" s="13"/>
      <c r="N547" s="13"/>
      <c r="O547" s="76"/>
      <c r="P547" s="81"/>
      <c r="Q547" s="123"/>
      <c r="R547" s="123"/>
      <c r="S547" s="123"/>
      <c r="T547" s="13">
        <f>LISTA[[#This Row],[TARIFA OUT ]]+LISTA[[#This Row],[TARIFA IN]]+LISTA[[#This Row],[VALOR FINAL]]</f>
        <v>0</v>
      </c>
    </row>
    <row r="548" spans="1:20" x14ac:dyDescent="0.2">
      <c r="A548" s="13"/>
      <c r="B548" s="190"/>
      <c r="C548" s="14"/>
      <c r="D548" s="14"/>
      <c r="E548" s="14"/>
      <c r="F548" s="14"/>
      <c r="G548" s="14"/>
      <c r="H548" s="14"/>
      <c r="I548" s="14"/>
      <c r="J548" s="14"/>
      <c r="K548" s="13"/>
      <c r="L548" s="13"/>
      <c r="M548" s="13"/>
      <c r="N548" s="13"/>
      <c r="O548" s="76"/>
      <c r="P548" s="81"/>
      <c r="Q548" s="123"/>
      <c r="R548" s="123"/>
      <c r="S548" s="123"/>
      <c r="T548" s="13">
        <f>LISTA[[#This Row],[TARIFA OUT ]]+LISTA[[#This Row],[TARIFA IN]]+LISTA[[#This Row],[VALOR FINAL]]</f>
        <v>0</v>
      </c>
    </row>
    <row r="549" spans="1:20" x14ac:dyDescent="0.2">
      <c r="A549" s="13"/>
      <c r="B549" s="190"/>
      <c r="C549" s="14"/>
      <c r="D549" s="14"/>
      <c r="E549" s="14"/>
      <c r="F549" s="14"/>
      <c r="G549" s="14"/>
      <c r="H549" s="14"/>
      <c r="I549" s="14"/>
      <c r="J549" s="14"/>
      <c r="K549" s="13"/>
      <c r="L549" s="13"/>
      <c r="M549" s="13"/>
      <c r="N549" s="13"/>
      <c r="O549" s="76"/>
      <c r="P549" s="81"/>
      <c r="Q549" s="123"/>
      <c r="R549" s="123"/>
      <c r="S549" s="123"/>
      <c r="T549" s="13">
        <f>LISTA[[#This Row],[TARIFA OUT ]]+LISTA[[#This Row],[TARIFA IN]]+LISTA[[#This Row],[VALOR FINAL]]</f>
        <v>0</v>
      </c>
    </row>
    <row r="550" spans="1:20" x14ac:dyDescent="0.2">
      <c r="A550" s="13"/>
      <c r="B550" s="190"/>
      <c r="C550" s="14"/>
      <c r="D550" s="14"/>
      <c r="E550" s="14"/>
      <c r="F550" s="14"/>
      <c r="G550" s="14"/>
      <c r="H550" s="14"/>
      <c r="I550" s="14"/>
      <c r="J550" s="14"/>
      <c r="K550" s="13"/>
      <c r="L550" s="13"/>
      <c r="M550" s="13"/>
      <c r="N550" s="13"/>
      <c r="O550" s="76"/>
      <c r="P550" s="81"/>
      <c r="Q550" s="123"/>
      <c r="R550" s="123"/>
      <c r="S550" s="123"/>
      <c r="T550" s="13">
        <f>LISTA[[#This Row],[TARIFA OUT ]]+LISTA[[#This Row],[TARIFA IN]]+LISTA[[#This Row],[VALOR FINAL]]</f>
        <v>0</v>
      </c>
    </row>
    <row r="551" spans="1:20" x14ac:dyDescent="0.2">
      <c r="A551" s="13"/>
      <c r="B551" s="190"/>
      <c r="C551" s="14"/>
      <c r="D551" s="14"/>
      <c r="E551" s="14"/>
      <c r="F551" s="14"/>
      <c r="G551" s="14"/>
      <c r="H551" s="14"/>
      <c r="I551" s="14"/>
      <c r="J551" s="14"/>
      <c r="K551" s="13"/>
      <c r="L551" s="13"/>
      <c r="M551" s="13"/>
      <c r="N551" s="13"/>
      <c r="O551" s="76"/>
      <c r="P551" s="81"/>
      <c r="Q551" s="123"/>
      <c r="R551" s="123"/>
      <c r="S551" s="123"/>
      <c r="T551" s="13">
        <f>LISTA[[#This Row],[TARIFA OUT ]]+LISTA[[#This Row],[TARIFA IN]]+LISTA[[#This Row],[VALOR FINAL]]</f>
        <v>0</v>
      </c>
    </row>
    <row r="552" spans="1:20" x14ac:dyDescent="0.2">
      <c r="A552" s="13"/>
      <c r="B552" s="190"/>
      <c r="C552" s="14"/>
      <c r="D552" s="14"/>
      <c r="E552" s="14"/>
      <c r="F552" s="14"/>
      <c r="G552" s="14"/>
      <c r="H552" s="14"/>
      <c r="I552" s="14"/>
      <c r="J552" s="14"/>
      <c r="K552" s="13"/>
      <c r="L552" s="13"/>
      <c r="M552" s="13"/>
      <c r="N552" s="13"/>
      <c r="O552" s="76"/>
      <c r="P552" s="81"/>
      <c r="Q552" s="123"/>
      <c r="R552" s="123"/>
      <c r="S552" s="123"/>
      <c r="T552" s="13">
        <f>LISTA[[#This Row],[TARIFA OUT ]]+LISTA[[#This Row],[TARIFA IN]]+LISTA[[#This Row],[VALOR FINAL]]</f>
        <v>0</v>
      </c>
    </row>
    <row r="553" spans="1:20" x14ac:dyDescent="0.2">
      <c r="A553" s="13"/>
      <c r="B553" s="190"/>
      <c r="C553" s="14"/>
      <c r="D553" s="14"/>
      <c r="E553" s="14"/>
      <c r="F553" s="14"/>
      <c r="G553" s="14"/>
      <c r="H553" s="14"/>
      <c r="I553" s="14"/>
      <c r="J553" s="14"/>
      <c r="K553" s="13"/>
      <c r="L553" s="13"/>
      <c r="M553" s="13"/>
      <c r="N553" s="13"/>
      <c r="O553" s="76"/>
      <c r="P553" s="81"/>
      <c r="Q553" s="123"/>
      <c r="R553" s="123"/>
      <c r="S553" s="123"/>
      <c r="T553" s="13">
        <f>LISTA[[#This Row],[TARIFA OUT ]]+LISTA[[#This Row],[TARIFA IN]]+LISTA[[#This Row],[VALOR FINAL]]</f>
        <v>0</v>
      </c>
    </row>
    <row r="554" spans="1:20" x14ac:dyDescent="0.2">
      <c r="A554" s="13"/>
      <c r="B554" s="190"/>
      <c r="C554" s="14"/>
      <c r="D554" s="14"/>
      <c r="E554" s="14"/>
      <c r="F554" s="14"/>
      <c r="G554" s="14"/>
      <c r="H554" s="14"/>
      <c r="I554" s="14"/>
      <c r="J554" s="14"/>
      <c r="K554" s="13"/>
      <c r="L554" s="13"/>
      <c r="M554" s="13"/>
      <c r="N554" s="13"/>
      <c r="O554" s="76"/>
      <c r="P554" s="81"/>
      <c r="Q554" s="123"/>
      <c r="R554" s="123"/>
      <c r="S554" s="123"/>
      <c r="T554" s="13">
        <f>LISTA[[#This Row],[TARIFA OUT ]]+LISTA[[#This Row],[TARIFA IN]]+LISTA[[#This Row],[VALOR FINAL]]</f>
        <v>0</v>
      </c>
    </row>
    <row r="555" spans="1:20" x14ac:dyDescent="0.2">
      <c r="A555" s="13"/>
      <c r="B555" s="190"/>
      <c r="C555" s="14"/>
      <c r="D555" s="14"/>
      <c r="E555" s="14"/>
      <c r="F555" s="14"/>
      <c r="G555" s="14"/>
      <c r="H555" s="14"/>
      <c r="I555" s="14"/>
      <c r="J555" s="14"/>
      <c r="K555" s="13"/>
      <c r="L555" s="13"/>
      <c r="M555" s="13"/>
      <c r="N555" s="13"/>
      <c r="O555" s="13"/>
      <c r="P555" s="81"/>
      <c r="Q555" s="123"/>
      <c r="R555" s="123"/>
      <c r="S555" s="123"/>
      <c r="T555" s="13">
        <f>LISTA[[#This Row],[TARIFA OUT ]]+LISTA[[#This Row],[TARIFA IN]]+LISTA[[#This Row],[VALOR FINAL]]</f>
        <v>0</v>
      </c>
    </row>
    <row r="556" spans="1:20" x14ac:dyDescent="0.2">
      <c r="A556" s="13"/>
      <c r="B556" s="190"/>
      <c r="C556" s="14"/>
      <c r="D556" s="14"/>
      <c r="E556" s="14"/>
      <c r="F556" s="14"/>
      <c r="G556" s="14"/>
      <c r="H556" s="14"/>
      <c r="I556" s="14"/>
      <c r="J556" s="14"/>
      <c r="K556" s="13"/>
      <c r="L556" s="13"/>
      <c r="M556" s="13"/>
      <c r="N556" s="13"/>
      <c r="O556" s="13"/>
      <c r="P556" s="81"/>
      <c r="Q556" s="123"/>
      <c r="R556" s="123"/>
      <c r="S556" s="123"/>
      <c r="T556" s="13">
        <f>LISTA[[#This Row],[TARIFA OUT ]]+LISTA[[#This Row],[TARIFA IN]]+LISTA[[#This Row],[VALOR FINAL]]</f>
        <v>0</v>
      </c>
    </row>
    <row r="557" spans="1:20" x14ac:dyDescent="0.2">
      <c r="A557" s="13"/>
      <c r="B557" s="190"/>
      <c r="C557" s="14"/>
      <c r="D557" s="14"/>
      <c r="E557" s="14"/>
      <c r="F557" s="14"/>
      <c r="G557" s="14"/>
      <c r="H557" s="14"/>
      <c r="I557" s="14"/>
      <c r="J557" s="14"/>
      <c r="K557" s="13"/>
      <c r="L557" s="13"/>
      <c r="M557" s="13"/>
      <c r="N557" s="13"/>
      <c r="O557" s="76"/>
      <c r="P557" s="81"/>
      <c r="Q557" s="123"/>
      <c r="R557" s="123"/>
      <c r="S557" s="123"/>
      <c r="T557" s="13">
        <f>LISTA[[#This Row],[TARIFA OUT ]]+LISTA[[#This Row],[TARIFA IN]]+LISTA[[#This Row],[VALOR FINAL]]</f>
        <v>0</v>
      </c>
    </row>
    <row r="558" spans="1:20" x14ac:dyDescent="0.2">
      <c r="A558" s="13"/>
      <c r="B558" s="190"/>
      <c r="C558" s="14"/>
      <c r="D558" s="14"/>
      <c r="E558" s="14"/>
      <c r="F558" s="14"/>
      <c r="G558" s="14"/>
      <c r="H558" s="14"/>
      <c r="I558" s="14"/>
      <c r="J558" s="14"/>
      <c r="K558" s="13"/>
      <c r="L558" s="13"/>
      <c r="M558" s="13"/>
      <c r="N558" s="13"/>
      <c r="O558" s="76"/>
      <c r="P558" s="81"/>
      <c r="Q558" s="123"/>
      <c r="R558" s="123"/>
      <c r="S558" s="123"/>
      <c r="T558" s="13">
        <f>LISTA[[#This Row],[TARIFA OUT ]]+LISTA[[#This Row],[TARIFA IN]]+LISTA[[#This Row],[VALOR FINAL]]</f>
        <v>0</v>
      </c>
    </row>
    <row r="559" spans="1:20" x14ac:dyDescent="0.2">
      <c r="A559" s="13"/>
      <c r="B559" s="190"/>
      <c r="C559" s="14"/>
      <c r="D559" s="14"/>
      <c r="E559" s="14"/>
      <c r="F559" s="14"/>
      <c r="G559" s="14"/>
      <c r="H559" s="14"/>
      <c r="I559" s="14"/>
      <c r="J559" s="14"/>
      <c r="K559" s="13"/>
      <c r="L559" s="13"/>
      <c r="M559" s="13"/>
      <c r="N559" s="13"/>
      <c r="O559" s="76"/>
      <c r="P559" s="81"/>
      <c r="Q559" s="123"/>
      <c r="R559" s="123"/>
      <c r="S559" s="123"/>
      <c r="T559" s="13">
        <f>LISTA[[#This Row],[TARIFA OUT ]]+LISTA[[#This Row],[TARIFA IN]]+LISTA[[#This Row],[VALOR FINAL]]</f>
        <v>0</v>
      </c>
    </row>
    <row r="560" spans="1:20" x14ac:dyDescent="0.2">
      <c r="A560" s="13"/>
      <c r="B560" s="190"/>
      <c r="C560" s="14"/>
      <c r="D560" s="14"/>
      <c r="E560" s="14"/>
      <c r="F560" s="14"/>
      <c r="G560" s="14"/>
      <c r="H560" s="14"/>
      <c r="I560" s="14"/>
      <c r="J560" s="14"/>
      <c r="K560" s="13"/>
      <c r="L560" s="13"/>
      <c r="M560" s="13"/>
      <c r="N560" s="13"/>
      <c r="O560" s="76"/>
      <c r="P560" s="81"/>
      <c r="Q560" s="123"/>
      <c r="R560" s="123"/>
      <c r="S560" s="123"/>
      <c r="T560" s="13">
        <f>LISTA[[#This Row],[TARIFA OUT ]]+LISTA[[#This Row],[TARIFA IN]]+LISTA[[#This Row],[VALOR FINAL]]</f>
        <v>0</v>
      </c>
    </row>
    <row r="561" spans="1:20" x14ac:dyDescent="0.2">
      <c r="A561" s="13"/>
      <c r="B561" s="14"/>
      <c r="C561" s="14"/>
      <c r="D561" s="14"/>
      <c r="E561" s="14"/>
      <c r="F561" s="14"/>
      <c r="G561" s="14"/>
      <c r="H561" s="14"/>
      <c r="I561" s="14"/>
      <c r="J561" s="14"/>
      <c r="K561" s="13"/>
      <c r="L561" s="13"/>
      <c r="M561" s="13"/>
      <c r="N561" s="13"/>
      <c r="O561" s="76"/>
      <c r="P561" s="81"/>
      <c r="Q561" s="123"/>
      <c r="R561" s="123"/>
      <c r="S561" s="123"/>
      <c r="T561" s="13">
        <f>LISTA[[#This Row],[TARIFA OUT ]]+LISTA[[#This Row],[TARIFA IN]]+LISTA[[#This Row],[VALOR FINAL]]</f>
        <v>0</v>
      </c>
    </row>
    <row r="562" spans="1:20" x14ac:dyDescent="0.2">
      <c r="A562" s="13"/>
      <c r="B562" s="14"/>
      <c r="C562" s="14"/>
      <c r="D562" s="14"/>
      <c r="E562" s="14"/>
      <c r="F562" s="14"/>
      <c r="G562" s="14"/>
      <c r="H562" s="14"/>
      <c r="I562" s="14"/>
      <c r="J562" s="14"/>
      <c r="K562" s="13"/>
      <c r="L562" s="13"/>
      <c r="M562" s="13"/>
      <c r="N562" s="13"/>
      <c r="O562" s="76"/>
      <c r="P562" s="81"/>
      <c r="Q562" s="123"/>
      <c r="R562" s="123"/>
      <c r="S562" s="123"/>
      <c r="T562" s="13">
        <f>LISTA[[#This Row],[TARIFA OUT ]]+LISTA[[#This Row],[TARIFA IN]]+LISTA[[#This Row],[VALOR FINAL]]</f>
        <v>0</v>
      </c>
    </row>
    <row r="563" spans="1:20" x14ac:dyDescent="0.2">
      <c r="A563" s="13"/>
      <c r="B563" s="14"/>
      <c r="C563" s="14"/>
      <c r="D563" s="14"/>
      <c r="E563" s="14"/>
      <c r="F563" s="14"/>
      <c r="G563" s="14"/>
      <c r="H563" s="14"/>
      <c r="I563" s="14"/>
      <c r="J563" s="14"/>
      <c r="K563" s="13"/>
      <c r="L563" s="13"/>
      <c r="M563" s="13"/>
      <c r="N563" s="13"/>
      <c r="O563" s="76"/>
      <c r="P563" s="81"/>
      <c r="Q563" s="123"/>
      <c r="R563" s="123"/>
      <c r="S563" s="123"/>
      <c r="T563" s="13">
        <f>LISTA[[#This Row],[TARIFA OUT ]]+LISTA[[#This Row],[TARIFA IN]]+LISTA[[#This Row],[VALOR FINAL]]</f>
        <v>0</v>
      </c>
    </row>
    <row r="564" spans="1:20" x14ac:dyDescent="0.2">
      <c r="A564" s="13"/>
      <c r="B564" s="14"/>
      <c r="C564" s="14"/>
      <c r="D564" s="14"/>
      <c r="E564" s="14"/>
      <c r="F564" s="14"/>
      <c r="G564" s="14"/>
      <c r="H564" s="14"/>
      <c r="I564" s="14"/>
      <c r="J564" s="14"/>
      <c r="K564" s="13"/>
      <c r="L564" s="13"/>
      <c r="M564" s="13"/>
      <c r="N564" s="13"/>
      <c r="O564" s="76"/>
      <c r="P564" s="81"/>
      <c r="Q564" s="123"/>
      <c r="R564" s="123"/>
      <c r="S564" s="123"/>
      <c r="T564" s="13">
        <f>LISTA[[#This Row],[TARIFA OUT ]]+LISTA[[#This Row],[TARIFA IN]]+LISTA[[#This Row],[VALOR FINAL]]</f>
        <v>0</v>
      </c>
    </row>
    <row r="565" spans="1:20" x14ac:dyDescent="0.2">
      <c r="A565" s="13"/>
      <c r="B565" s="14"/>
      <c r="C565" s="14"/>
      <c r="D565" s="14"/>
      <c r="E565" s="14"/>
      <c r="F565" s="14"/>
      <c r="G565" s="14"/>
      <c r="H565" s="14"/>
      <c r="I565" s="14"/>
      <c r="J565" s="14"/>
      <c r="K565" s="13"/>
      <c r="L565" s="13"/>
      <c r="M565" s="13"/>
      <c r="N565" s="13"/>
      <c r="O565" s="76"/>
      <c r="P565" s="81"/>
      <c r="Q565" s="123"/>
      <c r="R565" s="123"/>
      <c r="S565" s="123"/>
      <c r="T565" s="13">
        <f>LISTA[[#This Row],[TARIFA OUT ]]+LISTA[[#This Row],[TARIFA IN]]+LISTA[[#This Row],[VALOR FINAL]]</f>
        <v>0</v>
      </c>
    </row>
    <row r="566" spans="1:20" x14ac:dyDescent="0.2">
      <c r="A566" s="13"/>
      <c r="B566" s="14"/>
      <c r="C566" s="14"/>
      <c r="D566" s="14"/>
      <c r="E566" s="14"/>
      <c r="F566" s="14"/>
      <c r="G566" s="14"/>
      <c r="H566" s="14"/>
      <c r="I566" s="14"/>
      <c r="J566" s="14"/>
      <c r="K566" s="13"/>
      <c r="L566" s="13"/>
      <c r="M566" s="13"/>
      <c r="N566" s="13"/>
      <c r="O566" s="76"/>
      <c r="P566" s="81"/>
      <c r="Q566" s="123"/>
      <c r="R566" s="123"/>
      <c r="S566" s="123"/>
      <c r="T566" s="13">
        <f>LISTA[[#This Row],[TARIFA OUT ]]+LISTA[[#This Row],[TARIFA IN]]+LISTA[[#This Row],[VALOR FINAL]]</f>
        <v>0</v>
      </c>
    </row>
    <row r="567" spans="1:20" x14ac:dyDescent="0.2">
      <c r="A567" s="13"/>
      <c r="B567" s="14"/>
      <c r="C567" s="14"/>
      <c r="D567" s="14"/>
      <c r="E567" s="14"/>
      <c r="F567" s="14"/>
      <c r="G567" s="14"/>
      <c r="H567" s="14"/>
      <c r="I567" s="14"/>
      <c r="J567" s="14"/>
      <c r="K567" s="13"/>
      <c r="L567" s="13"/>
      <c r="M567" s="13"/>
      <c r="N567" s="13"/>
      <c r="O567" s="76"/>
      <c r="P567" s="81"/>
      <c r="Q567" s="123"/>
      <c r="R567" s="123"/>
      <c r="S567" s="123"/>
      <c r="T567" s="13">
        <f>LISTA[[#This Row],[TARIFA OUT ]]+LISTA[[#This Row],[TARIFA IN]]+LISTA[[#This Row],[VALOR FINAL]]</f>
        <v>0</v>
      </c>
    </row>
    <row r="568" spans="1:20" x14ac:dyDescent="0.2">
      <c r="A568" s="13"/>
      <c r="B568" s="14"/>
      <c r="C568" s="14"/>
      <c r="D568" s="14"/>
      <c r="E568" s="14"/>
      <c r="F568" s="14"/>
      <c r="G568" s="14"/>
      <c r="H568" s="14"/>
      <c r="I568" s="14"/>
      <c r="J568" s="14"/>
      <c r="K568" s="13"/>
      <c r="L568" s="13"/>
      <c r="M568" s="13"/>
      <c r="N568" s="13"/>
      <c r="O568" s="76"/>
      <c r="P568" s="81"/>
      <c r="Q568" s="123"/>
      <c r="R568" s="123"/>
      <c r="S568" s="123"/>
      <c r="T568" s="13">
        <f>LISTA[[#This Row],[TARIFA OUT ]]+LISTA[[#This Row],[TARIFA IN]]+LISTA[[#This Row],[VALOR FINAL]]</f>
        <v>0</v>
      </c>
    </row>
    <row r="569" spans="1:20" x14ac:dyDescent="0.2">
      <c r="A569" s="13"/>
      <c r="B569" s="14"/>
      <c r="C569" s="14"/>
      <c r="D569" s="14"/>
      <c r="E569" s="14"/>
      <c r="F569" s="14"/>
      <c r="G569" s="14"/>
      <c r="H569" s="14"/>
      <c r="I569" s="14"/>
      <c r="J569" s="14"/>
      <c r="K569" s="13"/>
      <c r="L569" s="13"/>
      <c r="M569" s="13"/>
      <c r="N569" s="13"/>
      <c r="O569" s="76"/>
      <c r="P569" s="81"/>
      <c r="Q569" s="123"/>
      <c r="R569" s="123"/>
      <c r="S569" s="123"/>
      <c r="T569" s="13">
        <f>LISTA[[#This Row],[TARIFA OUT ]]+LISTA[[#This Row],[TARIFA IN]]+LISTA[[#This Row],[VALOR FINAL]]</f>
        <v>0</v>
      </c>
    </row>
    <row r="570" spans="1:20" x14ac:dyDescent="0.2">
      <c r="A570" s="13"/>
      <c r="B570" s="14"/>
      <c r="C570" s="14"/>
      <c r="D570" s="14"/>
      <c r="E570" s="14"/>
      <c r="F570" s="14"/>
      <c r="G570" s="14"/>
      <c r="H570" s="14"/>
      <c r="I570" s="14"/>
      <c r="J570" s="14"/>
      <c r="K570" s="13"/>
      <c r="L570" s="13"/>
      <c r="M570" s="13"/>
      <c r="N570" s="13"/>
      <c r="O570" s="76"/>
      <c r="P570" s="81"/>
      <c r="Q570" s="123"/>
      <c r="R570" s="123"/>
      <c r="S570" s="123"/>
      <c r="T570" s="13">
        <f>LISTA[[#This Row],[TARIFA OUT ]]+LISTA[[#This Row],[TARIFA IN]]+LISTA[[#This Row],[VALOR FINAL]]</f>
        <v>0</v>
      </c>
    </row>
    <row r="571" spans="1:20" x14ac:dyDescent="0.2">
      <c r="A571" s="13"/>
      <c r="B571" s="14"/>
      <c r="C571" s="14"/>
      <c r="D571" s="14"/>
      <c r="E571" s="14"/>
      <c r="F571" s="14"/>
      <c r="G571" s="14"/>
      <c r="H571" s="14"/>
      <c r="I571" s="14"/>
      <c r="J571" s="14"/>
      <c r="K571" s="13"/>
      <c r="L571" s="13"/>
      <c r="M571" s="13"/>
      <c r="N571" s="13"/>
      <c r="O571" s="76"/>
      <c r="P571" s="81"/>
      <c r="Q571" s="123"/>
      <c r="R571" s="123"/>
      <c r="S571" s="123"/>
      <c r="T571" s="13">
        <f>LISTA[[#This Row],[TARIFA OUT ]]+LISTA[[#This Row],[TARIFA IN]]+LISTA[[#This Row],[VALOR FINAL]]</f>
        <v>0</v>
      </c>
    </row>
    <row r="572" spans="1:20" x14ac:dyDescent="0.2">
      <c r="A572" s="13"/>
      <c r="B572" s="14"/>
      <c r="C572" s="14"/>
      <c r="D572" s="14"/>
      <c r="E572" s="14"/>
      <c r="F572" s="14"/>
      <c r="G572" s="14"/>
      <c r="H572" s="14"/>
      <c r="I572" s="14"/>
      <c r="J572" s="14"/>
      <c r="K572" s="13"/>
      <c r="L572" s="13"/>
      <c r="M572" s="13"/>
      <c r="N572" s="13"/>
      <c r="O572" s="76"/>
      <c r="P572" s="81"/>
      <c r="Q572" s="123"/>
      <c r="R572" s="123"/>
      <c r="S572" s="123"/>
      <c r="T572" s="13">
        <f>LISTA[[#This Row],[TARIFA OUT ]]+LISTA[[#This Row],[TARIFA IN]]+LISTA[[#This Row],[VALOR FINAL]]</f>
        <v>0</v>
      </c>
    </row>
    <row r="573" spans="1:20" x14ac:dyDescent="0.2">
      <c r="A573" s="13"/>
      <c r="B573" s="14"/>
      <c r="C573" s="14"/>
      <c r="D573" s="14"/>
      <c r="E573" s="14"/>
      <c r="F573" s="14"/>
      <c r="G573" s="14"/>
      <c r="H573" s="14"/>
      <c r="I573" s="14"/>
      <c r="J573" s="14"/>
      <c r="K573" s="13"/>
      <c r="L573" s="13"/>
      <c r="M573" s="13"/>
      <c r="N573" s="13"/>
      <c r="O573" s="76"/>
      <c r="P573" s="81"/>
      <c r="Q573" s="123"/>
      <c r="R573" s="123"/>
      <c r="S573" s="123"/>
      <c r="T573" s="13">
        <f>LISTA[[#This Row],[TARIFA OUT ]]+LISTA[[#This Row],[TARIFA IN]]+LISTA[[#This Row],[VALOR FINAL]]</f>
        <v>0</v>
      </c>
    </row>
    <row r="574" spans="1:20" x14ac:dyDescent="0.2">
      <c r="A574" s="13"/>
      <c r="B574" s="14"/>
      <c r="C574" s="14"/>
      <c r="D574" s="14"/>
      <c r="E574" s="14"/>
      <c r="F574" s="14"/>
      <c r="G574" s="14"/>
      <c r="H574" s="14"/>
      <c r="I574" s="14"/>
      <c r="J574" s="14"/>
      <c r="K574" s="13"/>
      <c r="L574" s="13"/>
      <c r="M574" s="13"/>
      <c r="N574" s="13"/>
      <c r="O574" s="76"/>
      <c r="P574" s="81"/>
      <c r="Q574" s="123"/>
      <c r="R574" s="123"/>
      <c r="S574" s="123"/>
      <c r="T574" s="13">
        <f>LISTA[[#This Row],[TARIFA OUT ]]+LISTA[[#This Row],[TARIFA IN]]+LISTA[[#This Row],[VALOR FINAL]]</f>
        <v>0</v>
      </c>
    </row>
    <row r="575" spans="1:20" x14ac:dyDescent="0.2">
      <c r="A575" s="13"/>
      <c r="B575" s="14"/>
      <c r="C575" s="14"/>
      <c r="D575" s="14"/>
      <c r="E575" s="14"/>
      <c r="F575" s="14"/>
      <c r="G575" s="14"/>
      <c r="H575" s="14"/>
      <c r="I575" s="14"/>
      <c r="J575" s="14"/>
      <c r="K575" s="13"/>
      <c r="L575" s="13"/>
      <c r="M575" s="13"/>
      <c r="N575" s="13"/>
      <c r="O575" s="76"/>
      <c r="P575" s="81"/>
      <c r="Q575" s="123"/>
      <c r="R575" s="123"/>
      <c r="S575" s="123"/>
      <c r="T575" s="13">
        <f>LISTA[[#This Row],[TARIFA OUT ]]+LISTA[[#This Row],[TARIFA IN]]+LISTA[[#This Row],[VALOR FINAL]]</f>
        <v>0</v>
      </c>
    </row>
    <row r="576" spans="1:20" x14ac:dyDescent="0.2">
      <c r="A576" s="13"/>
      <c r="B576" s="14"/>
      <c r="C576" s="14"/>
      <c r="D576" s="14"/>
      <c r="E576" s="14"/>
      <c r="F576" s="14"/>
      <c r="G576" s="14"/>
      <c r="H576" s="14"/>
      <c r="I576" s="14"/>
      <c r="J576" s="14"/>
      <c r="K576" s="13"/>
      <c r="L576" s="13"/>
      <c r="M576" s="13"/>
      <c r="N576" s="13"/>
      <c r="O576" s="76"/>
      <c r="P576" s="81"/>
      <c r="Q576" s="123"/>
      <c r="R576" s="123"/>
      <c r="S576" s="123"/>
      <c r="T576" s="13">
        <f>LISTA[[#This Row],[TARIFA OUT ]]+LISTA[[#This Row],[TARIFA IN]]+LISTA[[#This Row],[VALOR FINAL]]</f>
        <v>0</v>
      </c>
    </row>
    <row r="577" spans="1:20" x14ac:dyDescent="0.2">
      <c r="A577" s="13"/>
      <c r="B577" s="14"/>
      <c r="C577" s="14"/>
      <c r="D577" s="14"/>
      <c r="E577" s="14"/>
      <c r="F577" s="14"/>
      <c r="G577" s="14"/>
      <c r="H577" s="14"/>
      <c r="I577" s="14"/>
      <c r="J577" s="14"/>
      <c r="K577" s="13"/>
      <c r="L577" s="13"/>
      <c r="M577" s="13"/>
      <c r="N577" s="13"/>
      <c r="O577" s="76"/>
      <c r="P577" s="81"/>
      <c r="Q577" s="123"/>
      <c r="R577" s="123"/>
      <c r="S577" s="123"/>
      <c r="T577" s="13">
        <f>LISTA[[#This Row],[TARIFA OUT ]]+LISTA[[#This Row],[TARIFA IN]]+LISTA[[#This Row],[VALOR FINAL]]</f>
        <v>0</v>
      </c>
    </row>
    <row r="578" spans="1:20" x14ac:dyDescent="0.2">
      <c r="A578" s="13"/>
      <c r="B578" s="14"/>
      <c r="C578" s="14"/>
      <c r="D578" s="14"/>
      <c r="E578" s="14"/>
      <c r="F578" s="14"/>
      <c r="G578" s="14"/>
      <c r="H578" s="14"/>
      <c r="I578" s="14"/>
      <c r="J578" s="14"/>
      <c r="K578" s="13"/>
      <c r="L578" s="13"/>
      <c r="M578" s="13"/>
      <c r="N578" s="13"/>
      <c r="O578" s="76"/>
      <c r="P578" s="81"/>
      <c r="Q578" s="123"/>
      <c r="R578" s="123"/>
      <c r="S578" s="123"/>
      <c r="T578" s="13">
        <f>LISTA[[#This Row],[TARIFA OUT ]]+LISTA[[#This Row],[TARIFA IN]]+LISTA[[#This Row],[VALOR FINAL]]</f>
        <v>0</v>
      </c>
    </row>
    <row r="579" spans="1:20" x14ac:dyDescent="0.2">
      <c r="A579" s="13"/>
      <c r="B579" s="14"/>
      <c r="C579" s="14"/>
      <c r="D579" s="14"/>
      <c r="E579" s="14"/>
      <c r="F579" s="14"/>
      <c r="G579" s="14"/>
      <c r="H579" s="14"/>
      <c r="I579" s="14"/>
      <c r="J579" s="14"/>
      <c r="K579" s="13"/>
      <c r="L579" s="13"/>
      <c r="M579" s="13"/>
      <c r="N579" s="13"/>
      <c r="O579" s="76"/>
      <c r="P579" s="81"/>
      <c r="Q579" s="123"/>
      <c r="R579" s="123"/>
      <c r="S579" s="123"/>
      <c r="T579" s="13">
        <f>LISTA[[#This Row],[TARIFA OUT ]]+LISTA[[#This Row],[TARIFA IN]]+LISTA[[#This Row],[VALOR FINAL]]</f>
        <v>0</v>
      </c>
    </row>
    <row r="580" spans="1:20" x14ac:dyDescent="0.2">
      <c r="A580" s="13"/>
      <c r="B580" s="14"/>
      <c r="C580" s="14"/>
      <c r="D580" s="14"/>
      <c r="E580" s="14"/>
      <c r="F580" s="14"/>
      <c r="G580" s="14"/>
      <c r="H580" s="14"/>
      <c r="I580" s="14"/>
      <c r="J580" s="14"/>
      <c r="K580" s="13"/>
      <c r="L580" s="13"/>
      <c r="M580" s="13"/>
      <c r="N580" s="13"/>
      <c r="O580" s="76"/>
      <c r="P580" s="81"/>
      <c r="Q580" s="123"/>
      <c r="R580" s="123"/>
      <c r="S580" s="123"/>
      <c r="T580" s="13">
        <f>LISTA[[#This Row],[TARIFA OUT ]]+LISTA[[#This Row],[TARIFA IN]]+LISTA[[#This Row],[VALOR FINAL]]</f>
        <v>0</v>
      </c>
    </row>
    <row r="581" spans="1:20" x14ac:dyDescent="0.2">
      <c r="A581" s="13"/>
      <c r="B581" s="14"/>
      <c r="C581" s="14"/>
      <c r="D581" s="14"/>
      <c r="E581" s="14"/>
      <c r="F581" s="14"/>
      <c r="G581" s="14"/>
      <c r="H581" s="14"/>
      <c r="I581" s="14"/>
      <c r="J581" s="14"/>
      <c r="K581" s="13"/>
      <c r="L581" s="13"/>
      <c r="M581" s="13"/>
      <c r="N581" s="13"/>
      <c r="O581" s="76"/>
      <c r="P581" s="81"/>
      <c r="Q581" s="123"/>
      <c r="R581" s="123"/>
      <c r="S581" s="123"/>
      <c r="T581" s="13">
        <f>LISTA[[#This Row],[TARIFA OUT ]]+LISTA[[#This Row],[TARIFA IN]]+LISTA[[#This Row],[VALOR FINAL]]</f>
        <v>0</v>
      </c>
    </row>
    <row r="582" spans="1:20" x14ac:dyDescent="0.2">
      <c r="A582" s="13"/>
      <c r="B582" s="14"/>
      <c r="C582" s="14"/>
      <c r="D582" s="14"/>
      <c r="E582" s="14"/>
      <c r="F582" s="14"/>
      <c r="G582" s="14"/>
      <c r="H582" s="14"/>
      <c r="I582" s="14"/>
      <c r="J582" s="14"/>
      <c r="K582" s="13"/>
      <c r="L582" s="13"/>
      <c r="M582" s="13"/>
      <c r="N582" s="13"/>
      <c r="O582" s="76"/>
      <c r="P582" s="81"/>
      <c r="Q582" s="123"/>
      <c r="R582" s="123"/>
      <c r="S582" s="123"/>
      <c r="T582" s="13">
        <f>LISTA[[#This Row],[TARIFA OUT ]]+LISTA[[#This Row],[TARIFA IN]]+LISTA[[#This Row],[VALOR FINAL]]</f>
        <v>0</v>
      </c>
    </row>
    <row r="583" spans="1:20" x14ac:dyDescent="0.2">
      <c r="A583" s="13"/>
      <c r="B583" s="14"/>
      <c r="C583" s="14"/>
      <c r="D583" s="14"/>
      <c r="E583" s="14"/>
      <c r="F583" s="14"/>
      <c r="G583" s="14"/>
      <c r="H583" s="14"/>
      <c r="I583" s="14"/>
      <c r="J583" s="14"/>
      <c r="K583" s="13"/>
      <c r="L583" s="13"/>
      <c r="M583" s="13"/>
      <c r="N583" s="13"/>
      <c r="O583" s="76"/>
      <c r="P583" s="81"/>
      <c r="Q583" s="123"/>
      <c r="R583" s="123"/>
      <c r="S583" s="123"/>
      <c r="T583" s="13">
        <f>LISTA[[#This Row],[TARIFA OUT ]]+LISTA[[#This Row],[TARIFA IN]]+LISTA[[#This Row],[VALOR FINAL]]</f>
        <v>0</v>
      </c>
    </row>
    <row r="584" spans="1:20" x14ac:dyDescent="0.2">
      <c r="A584" s="13"/>
      <c r="B584" s="14"/>
      <c r="C584" s="14"/>
      <c r="D584" s="14"/>
      <c r="E584" s="14"/>
      <c r="F584" s="14"/>
      <c r="G584" s="14"/>
      <c r="H584" s="14"/>
      <c r="I584" s="14"/>
      <c r="J584" s="14"/>
      <c r="K584" s="13"/>
      <c r="L584" s="13"/>
      <c r="M584" s="13"/>
      <c r="N584" s="13"/>
      <c r="O584" s="76"/>
      <c r="P584" s="81"/>
      <c r="Q584" s="123"/>
      <c r="R584" s="123"/>
      <c r="S584" s="123"/>
      <c r="T584" s="13">
        <f>LISTA[[#This Row],[TARIFA OUT ]]+LISTA[[#This Row],[TARIFA IN]]+LISTA[[#This Row],[VALOR FINAL]]</f>
        <v>0</v>
      </c>
    </row>
    <row r="585" spans="1:20" x14ac:dyDescent="0.2">
      <c r="A585" s="13"/>
      <c r="B585" s="14"/>
      <c r="C585" s="14"/>
      <c r="D585" s="14"/>
      <c r="E585" s="14"/>
      <c r="F585" s="14"/>
      <c r="G585" s="14"/>
      <c r="H585" s="14"/>
      <c r="I585" s="14"/>
      <c r="J585" s="14"/>
      <c r="K585" s="13"/>
      <c r="L585" s="13"/>
      <c r="M585" s="13"/>
      <c r="N585" s="13"/>
      <c r="O585" s="76"/>
      <c r="P585" s="81"/>
      <c r="Q585" s="123"/>
      <c r="R585" s="123"/>
      <c r="S585" s="123"/>
      <c r="T585" s="13">
        <f>LISTA[[#This Row],[TARIFA OUT ]]+LISTA[[#This Row],[TARIFA IN]]+LISTA[[#This Row],[VALOR FINAL]]</f>
        <v>0</v>
      </c>
    </row>
    <row r="586" spans="1:20" x14ac:dyDescent="0.2">
      <c r="A586" s="13"/>
      <c r="B586" s="14"/>
      <c r="C586" s="14"/>
      <c r="D586" s="14"/>
      <c r="E586" s="14"/>
      <c r="F586" s="14"/>
      <c r="G586" s="14"/>
      <c r="H586" s="14"/>
      <c r="I586" s="14"/>
      <c r="J586" s="14"/>
      <c r="K586" s="13"/>
      <c r="L586" s="13"/>
      <c r="M586" s="13"/>
      <c r="N586" s="13"/>
      <c r="O586" s="76"/>
      <c r="P586" s="81"/>
      <c r="Q586" s="123"/>
      <c r="R586" s="123"/>
      <c r="S586" s="123"/>
      <c r="T586" s="13">
        <f>LISTA[[#This Row],[TARIFA OUT ]]+LISTA[[#This Row],[TARIFA IN]]+LISTA[[#This Row],[VALOR FINAL]]</f>
        <v>0</v>
      </c>
    </row>
    <row r="587" spans="1:20" x14ac:dyDescent="0.2">
      <c r="A587" s="13"/>
      <c r="B587" s="14"/>
      <c r="C587" s="14"/>
      <c r="D587" s="14"/>
      <c r="E587" s="14"/>
      <c r="F587" s="14"/>
      <c r="G587" s="14"/>
      <c r="H587" s="14"/>
      <c r="I587" s="14"/>
      <c r="J587" s="14"/>
      <c r="K587" s="13"/>
      <c r="L587" s="13"/>
      <c r="M587" s="13"/>
      <c r="N587" s="13"/>
      <c r="O587" s="76"/>
      <c r="P587" s="81"/>
      <c r="Q587" s="123"/>
      <c r="R587" s="123"/>
      <c r="S587" s="123"/>
      <c r="T587" s="13">
        <f>LISTA[[#This Row],[TARIFA OUT ]]+LISTA[[#This Row],[TARIFA IN]]+LISTA[[#This Row],[VALOR FINAL]]</f>
        <v>0</v>
      </c>
    </row>
    <row r="588" spans="1:20" x14ac:dyDescent="0.2">
      <c r="A588" s="13"/>
      <c r="B588" s="14"/>
      <c r="C588" s="14"/>
      <c r="D588" s="14"/>
      <c r="E588" s="14"/>
      <c r="F588" s="14"/>
      <c r="G588" s="14"/>
      <c r="H588" s="14"/>
      <c r="I588" s="14"/>
      <c r="J588" s="14"/>
      <c r="K588" s="13"/>
      <c r="L588" s="13"/>
      <c r="M588" s="13"/>
      <c r="N588" s="13"/>
      <c r="O588" s="76"/>
      <c r="P588" s="81"/>
      <c r="Q588" s="123"/>
      <c r="R588" s="123"/>
      <c r="S588" s="123"/>
      <c r="T588" s="13">
        <f>LISTA[[#This Row],[TARIFA OUT ]]+LISTA[[#This Row],[TARIFA IN]]+LISTA[[#This Row],[VALOR FINAL]]</f>
        <v>0</v>
      </c>
    </row>
    <row r="589" spans="1:20" x14ac:dyDescent="0.2">
      <c r="A589" s="13"/>
      <c r="B589" s="14"/>
      <c r="C589" s="14"/>
      <c r="D589" s="14"/>
      <c r="E589" s="14"/>
      <c r="F589" s="14"/>
      <c r="G589" s="14"/>
      <c r="H589" s="14"/>
      <c r="I589" s="14"/>
      <c r="J589" s="14"/>
      <c r="K589" s="13"/>
      <c r="L589" s="13"/>
      <c r="M589" s="13"/>
      <c r="N589" s="13"/>
      <c r="O589" s="76"/>
      <c r="P589" s="81"/>
      <c r="Q589" s="123"/>
      <c r="R589" s="123"/>
      <c r="S589" s="123"/>
      <c r="T589" s="13">
        <f>LISTA[[#This Row],[TARIFA OUT ]]+LISTA[[#This Row],[TARIFA IN]]+LISTA[[#This Row],[VALOR FINAL]]</f>
        <v>0</v>
      </c>
    </row>
    <row r="590" spans="1:20" x14ac:dyDescent="0.2">
      <c r="A590" s="13"/>
      <c r="B590" s="14"/>
      <c r="C590" s="14"/>
      <c r="D590" s="14"/>
      <c r="E590" s="14"/>
      <c r="F590" s="14"/>
      <c r="G590" s="14"/>
      <c r="H590" s="14"/>
      <c r="I590" s="14"/>
      <c r="J590" s="14"/>
      <c r="K590" s="13"/>
      <c r="L590" s="13"/>
      <c r="M590" s="13"/>
      <c r="N590" s="13"/>
      <c r="O590" s="76"/>
      <c r="P590" s="81"/>
      <c r="Q590" s="123"/>
      <c r="R590" s="123"/>
      <c r="S590" s="123"/>
      <c r="T590" s="13">
        <f>LISTA[[#This Row],[TARIFA OUT ]]+LISTA[[#This Row],[TARIFA IN]]+LISTA[[#This Row],[VALOR FINAL]]</f>
        <v>0</v>
      </c>
    </row>
    <row r="591" spans="1:20" x14ac:dyDescent="0.2">
      <c r="A591" s="13"/>
      <c r="B591" s="14"/>
      <c r="C591" s="14"/>
      <c r="D591" s="14"/>
      <c r="E591" s="14"/>
      <c r="F591" s="14"/>
      <c r="G591" s="14"/>
      <c r="H591" s="14"/>
      <c r="I591" s="14"/>
      <c r="J591" s="14"/>
      <c r="K591" s="13"/>
      <c r="L591" s="13"/>
      <c r="M591" s="13"/>
      <c r="N591" s="13"/>
      <c r="O591" s="76"/>
      <c r="P591" s="81"/>
      <c r="Q591" s="123"/>
      <c r="R591" s="123"/>
      <c r="S591" s="123"/>
      <c r="T591" s="13">
        <f>LISTA[[#This Row],[TARIFA OUT ]]+LISTA[[#This Row],[TARIFA IN]]+LISTA[[#This Row],[VALOR FINAL]]</f>
        <v>0</v>
      </c>
    </row>
    <row r="592" spans="1:20" x14ac:dyDescent="0.2">
      <c r="A592" s="13"/>
      <c r="B592" s="14"/>
      <c r="C592" s="14"/>
      <c r="D592" s="14"/>
      <c r="E592" s="14"/>
      <c r="F592" s="14"/>
      <c r="G592" s="14"/>
      <c r="H592" s="14"/>
      <c r="I592" s="14"/>
      <c r="J592" s="14"/>
      <c r="K592" s="13"/>
      <c r="L592" s="13"/>
      <c r="M592" s="13"/>
      <c r="N592" s="13"/>
      <c r="O592" s="76"/>
      <c r="P592" s="81"/>
      <c r="Q592" s="123"/>
      <c r="R592" s="123"/>
      <c r="S592" s="123"/>
      <c r="T592" s="13">
        <f>LISTA[[#This Row],[TARIFA OUT ]]+LISTA[[#This Row],[TARIFA IN]]+LISTA[[#This Row],[VALOR FINAL]]</f>
        <v>0</v>
      </c>
    </row>
    <row r="593" spans="1:20" x14ac:dyDescent="0.2">
      <c r="A593" s="13"/>
      <c r="B593" s="14"/>
      <c r="C593" s="14"/>
      <c r="D593" s="14"/>
      <c r="E593" s="14"/>
      <c r="F593" s="14"/>
      <c r="G593" s="14"/>
      <c r="H593" s="14"/>
      <c r="I593" s="14"/>
      <c r="J593" s="14"/>
      <c r="K593" s="13"/>
      <c r="L593" s="13"/>
      <c r="M593" s="13"/>
      <c r="N593" s="13"/>
      <c r="O593" s="76"/>
      <c r="P593" s="81"/>
      <c r="Q593" s="123"/>
      <c r="R593" s="123"/>
      <c r="S593" s="123"/>
      <c r="T593" s="13">
        <f>LISTA[[#This Row],[TARIFA OUT ]]+LISTA[[#This Row],[TARIFA IN]]+LISTA[[#This Row],[VALOR FINAL]]</f>
        <v>0</v>
      </c>
    </row>
    <row r="594" spans="1:20" x14ac:dyDescent="0.2">
      <c r="A594" s="13"/>
      <c r="B594" s="14"/>
      <c r="C594" s="14"/>
      <c r="D594" s="14"/>
      <c r="E594" s="14"/>
      <c r="F594" s="14"/>
      <c r="G594" s="14"/>
      <c r="H594" s="14"/>
      <c r="I594" s="14"/>
      <c r="J594" s="14"/>
      <c r="K594" s="13"/>
      <c r="L594" s="13"/>
      <c r="M594" s="13"/>
      <c r="N594" s="13"/>
      <c r="O594" s="76"/>
      <c r="P594" s="81"/>
      <c r="Q594" s="123"/>
      <c r="R594" s="123"/>
      <c r="S594" s="123"/>
      <c r="T594" s="13">
        <f>LISTA[[#This Row],[TARIFA OUT ]]+LISTA[[#This Row],[TARIFA IN]]+LISTA[[#This Row],[VALOR FINAL]]</f>
        <v>0</v>
      </c>
    </row>
    <row r="595" spans="1:20" x14ac:dyDescent="0.2">
      <c r="A595" s="13"/>
      <c r="B595" s="14"/>
      <c r="C595" s="14"/>
      <c r="D595" s="14"/>
      <c r="E595" s="14"/>
      <c r="F595" s="14"/>
      <c r="G595" s="14"/>
      <c r="H595" s="14"/>
      <c r="I595" s="14"/>
      <c r="J595" s="14"/>
      <c r="K595" s="13"/>
      <c r="L595" s="13"/>
      <c r="M595" s="13"/>
      <c r="N595" s="13"/>
      <c r="O595" s="76"/>
      <c r="P595" s="81"/>
      <c r="Q595" s="123"/>
      <c r="R595" s="123"/>
      <c r="S595" s="123"/>
      <c r="T595" s="13">
        <f>LISTA[[#This Row],[TARIFA OUT ]]+LISTA[[#This Row],[TARIFA IN]]+LISTA[[#This Row],[VALOR FINAL]]</f>
        <v>0</v>
      </c>
    </row>
    <row r="596" spans="1:20" x14ac:dyDescent="0.2">
      <c r="A596" s="13"/>
      <c r="B596" s="14"/>
      <c r="C596" s="14"/>
      <c r="D596" s="14"/>
      <c r="E596" s="14"/>
      <c r="F596" s="14"/>
      <c r="G596" s="14"/>
      <c r="H596" s="14"/>
      <c r="I596" s="14"/>
      <c r="J596" s="14"/>
      <c r="K596" s="13"/>
      <c r="L596" s="13"/>
      <c r="M596" s="13"/>
      <c r="N596" s="13"/>
      <c r="O596" s="76"/>
      <c r="P596" s="81"/>
      <c r="Q596" s="123"/>
      <c r="R596" s="123"/>
      <c r="S596" s="123"/>
      <c r="T596" s="13">
        <f>LISTA[[#This Row],[TARIFA OUT ]]+LISTA[[#This Row],[TARIFA IN]]+LISTA[[#This Row],[VALOR FINAL]]</f>
        <v>0</v>
      </c>
    </row>
    <row r="597" spans="1:20" x14ac:dyDescent="0.2">
      <c r="A597" s="13"/>
      <c r="B597" s="14"/>
      <c r="C597" s="14"/>
      <c r="D597" s="14"/>
      <c r="E597" s="14"/>
      <c r="F597" s="14"/>
      <c r="G597" s="14"/>
      <c r="H597" s="14"/>
      <c r="I597" s="14"/>
      <c r="J597" s="14"/>
      <c r="K597" s="13"/>
      <c r="L597" s="13"/>
      <c r="M597" s="13"/>
      <c r="N597" s="13"/>
      <c r="O597" s="76"/>
      <c r="P597" s="81"/>
      <c r="Q597" s="123"/>
      <c r="R597" s="123"/>
      <c r="S597" s="123"/>
      <c r="T597" s="13">
        <f>LISTA[[#This Row],[TARIFA OUT ]]+LISTA[[#This Row],[TARIFA IN]]+LISTA[[#This Row],[VALOR FINAL]]</f>
        <v>0</v>
      </c>
    </row>
    <row r="598" spans="1:20" x14ac:dyDescent="0.2">
      <c r="A598" s="13"/>
      <c r="B598" s="14"/>
      <c r="C598" s="14"/>
      <c r="D598" s="14"/>
      <c r="E598" s="14"/>
      <c r="F598" s="14"/>
      <c r="G598" s="14"/>
      <c r="H598" s="14"/>
      <c r="I598" s="14"/>
      <c r="J598" s="14"/>
      <c r="K598" s="13"/>
      <c r="L598" s="13"/>
      <c r="M598" s="13"/>
      <c r="N598" s="13"/>
      <c r="O598" s="76"/>
      <c r="P598" s="81"/>
      <c r="Q598" s="123"/>
      <c r="R598" s="123"/>
      <c r="S598" s="123"/>
      <c r="T598" s="13">
        <f>LISTA[[#This Row],[TARIFA OUT ]]+LISTA[[#This Row],[TARIFA IN]]+LISTA[[#This Row],[VALOR FINAL]]</f>
        <v>0</v>
      </c>
    </row>
    <row r="599" spans="1:20" x14ac:dyDescent="0.2">
      <c r="A599" s="13"/>
      <c r="B599" s="14"/>
      <c r="C599" s="14"/>
      <c r="D599" s="14"/>
      <c r="E599" s="14"/>
      <c r="F599" s="14"/>
      <c r="G599" s="14"/>
      <c r="H599" s="14"/>
      <c r="I599" s="14"/>
      <c r="J599" s="14"/>
      <c r="K599" s="13"/>
      <c r="L599" s="13"/>
      <c r="M599" s="13"/>
      <c r="N599" s="13"/>
      <c r="O599" s="76"/>
      <c r="P599" s="81"/>
      <c r="Q599" s="123"/>
      <c r="R599" s="123"/>
      <c r="S599" s="123"/>
      <c r="T599" s="13">
        <f>LISTA[[#This Row],[TARIFA OUT ]]+LISTA[[#This Row],[TARIFA IN]]+LISTA[[#This Row],[VALOR FINAL]]</f>
        <v>0</v>
      </c>
    </row>
    <row r="600" spans="1:20" x14ac:dyDescent="0.2">
      <c r="A600" s="13"/>
      <c r="B600" s="14"/>
      <c r="C600" s="14"/>
      <c r="D600" s="14"/>
      <c r="E600" s="14"/>
      <c r="F600" s="14"/>
      <c r="G600" s="14"/>
      <c r="H600" s="14"/>
      <c r="I600" s="14"/>
      <c r="J600" s="14"/>
      <c r="K600" s="13"/>
      <c r="L600" s="13"/>
      <c r="M600" s="13"/>
      <c r="N600" s="13"/>
      <c r="O600" s="76"/>
      <c r="P600" s="81"/>
      <c r="Q600" s="123"/>
      <c r="R600" s="123"/>
      <c r="S600" s="123"/>
      <c r="T600" s="13">
        <f>LISTA[[#This Row],[TARIFA OUT ]]+LISTA[[#This Row],[TARIFA IN]]+LISTA[[#This Row],[VALOR FINAL]]</f>
        <v>0</v>
      </c>
    </row>
    <row r="601" spans="1:20" x14ac:dyDescent="0.2">
      <c r="A601" s="13"/>
      <c r="B601" s="14"/>
      <c r="C601" s="14"/>
      <c r="D601" s="14"/>
      <c r="E601" s="14"/>
      <c r="F601" s="14"/>
      <c r="G601" s="14"/>
      <c r="H601" s="14"/>
      <c r="I601" s="14"/>
      <c r="J601" s="14"/>
      <c r="K601" s="13"/>
      <c r="L601" s="13"/>
      <c r="M601" s="13"/>
      <c r="N601" s="13"/>
      <c r="O601" s="76"/>
      <c r="P601" s="81"/>
      <c r="Q601" s="123"/>
      <c r="R601" s="123"/>
      <c r="S601" s="123"/>
      <c r="T601" s="13">
        <f>LISTA[[#This Row],[TARIFA OUT ]]+LISTA[[#This Row],[TARIFA IN]]+LISTA[[#This Row],[VALOR FINAL]]</f>
        <v>0</v>
      </c>
    </row>
    <row r="602" spans="1:20" x14ac:dyDescent="0.2">
      <c r="A602" s="13"/>
      <c r="B602" s="14"/>
      <c r="C602" s="14"/>
      <c r="D602" s="14"/>
      <c r="E602" s="14"/>
      <c r="F602" s="14"/>
      <c r="G602" s="14"/>
      <c r="H602" s="14"/>
      <c r="I602" s="14"/>
      <c r="J602" s="14"/>
      <c r="K602" s="13"/>
      <c r="L602" s="13"/>
      <c r="M602" s="13"/>
      <c r="N602" s="13"/>
      <c r="O602" s="76"/>
      <c r="P602" s="81"/>
      <c r="Q602" s="123"/>
      <c r="R602" s="123"/>
      <c r="S602" s="123"/>
      <c r="T602" s="13">
        <f>LISTA[[#This Row],[TARIFA OUT ]]+LISTA[[#This Row],[TARIFA IN]]+LISTA[[#This Row],[VALOR FINAL]]</f>
        <v>0</v>
      </c>
    </row>
    <row r="603" spans="1:20" x14ac:dyDescent="0.2">
      <c r="A603" s="13"/>
      <c r="B603" s="14"/>
      <c r="C603" s="14"/>
      <c r="D603" s="14"/>
      <c r="E603" s="14"/>
      <c r="F603" s="14"/>
      <c r="G603" s="14"/>
      <c r="H603" s="14"/>
      <c r="I603" s="14"/>
      <c r="J603" s="14"/>
      <c r="K603" s="13"/>
      <c r="L603" s="13"/>
      <c r="M603" s="13"/>
      <c r="N603" s="13"/>
      <c r="O603" s="76"/>
      <c r="P603" s="81"/>
      <c r="Q603" s="123"/>
      <c r="R603" s="123"/>
      <c r="S603" s="123"/>
      <c r="T603" s="13">
        <f>LISTA[[#This Row],[TARIFA OUT ]]+LISTA[[#This Row],[TARIFA IN]]+LISTA[[#This Row],[VALOR FINAL]]</f>
        <v>0</v>
      </c>
    </row>
    <row r="604" spans="1:20" x14ac:dyDescent="0.2">
      <c r="A604" s="13"/>
      <c r="B604" s="14"/>
      <c r="C604" s="14"/>
      <c r="D604" s="14"/>
      <c r="E604" s="14"/>
      <c r="F604" s="14"/>
      <c r="G604" s="14"/>
      <c r="H604" s="14"/>
      <c r="I604" s="14"/>
      <c r="J604" s="14"/>
      <c r="K604" s="13"/>
      <c r="L604" s="13"/>
      <c r="M604" s="13"/>
      <c r="N604" s="13"/>
      <c r="O604" s="76"/>
      <c r="P604" s="81"/>
      <c r="Q604" s="123"/>
      <c r="R604" s="123"/>
      <c r="S604" s="123"/>
      <c r="T604" s="13">
        <f>LISTA[[#This Row],[TARIFA OUT ]]+LISTA[[#This Row],[TARIFA IN]]+LISTA[[#This Row],[VALOR FINAL]]</f>
        <v>0</v>
      </c>
    </row>
    <row r="605" spans="1:20" x14ac:dyDescent="0.2">
      <c r="A605" s="13"/>
      <c r="B605" s="14"/>
      <c r="C605" s="14"/>
      <c r="D605" s="14"/>
      <c r="E605" s="14"/>
      <c r="F605" s="14"/>
      <c r="G605" s="14"/>
      <c r="H605" s="14"/>
      <c r="I605" s="14"/>
      <c r="J605" s="14"/>
      <c r="K605" s="13"/>
      <c r="L605" s="13"/>
      <c r="M605" s="13"/>
      <c r="N605" s="13"/>
      <c r="O605" s="76"/>
      <c r="P605" s="81"/>
      <c r="Q605" s="123"/>
      <c r="R605" s="123"/>
      <c r="S605" s="123"/>
      <c r="T605" s="13">
        <f>LISTA[[#This Row],[TARIFA OUT ]]+LISTA[[#This Row],[TARIFA IN]]+LISTA[[#This Row],[VALOR FINAL]]</f>
        <v>0</v>
      </c>
    </row>
    <row r="606" spans="1:20" x14ac:dyDescent="0.2">
      <c r="A606" s="13"/>
      <c r="B606" s="14"/>
      <c r="C606" s="14"/>
      <c r="D606" s="14"/>
      <c r="E606" s="14"/>
      <c r="F606" s="14"/>
      <c r="G606" s="14"/>
      <c r="H606" s="14"/>
      <c r="I606" s="14"/>
      <c r="J606" s="14"/>
      <c r="K606" s="13"/>
      <c r="L606" s="13"/>
      <c r="M606" s="13"/>
      <c r="N606" s="13"/>
      <c r="O606" s="76"/>
      <c r="P606" s="81"/>
      <c r="Q606" s="123"/>
      <c r="R606" s="123"/>
      <c r="S606" s="123"/>
      <c r="T606" s="13">
        <f>LISTA[[#This Row],[TARIFA OUT ]]+LISTA[[#This Row],[TARIFA IN]]+LISTA[[#This Row],[VALOR FINAL]]</f>
        <v>0</v>
      </c>
    </row>
    <row r="607" spans="1:20" x14ac:dyDescent="0.2">
      <c r="A607" s="13"/>
      <c r="B607" s="14"/>
      <c r="C607" s="14"/>
      <c r="D607" s="14"/>
      <c r="E607" s="14"/>
      <c r="F607" s="14"/>
      <c r="G607" s="14"/>
      <c r="H607" s="14"/>
      <c r="I607" s="14"/>
      <c r="J607" s="14"/>
      <c r="K607" s="13"/>
      <c r="L607" s="13"/>
      <c r="M607" s="13"/>
      <c r="N607" s="13"/>
      <c r="O607" s="76"/>
      <c r="P607" s="81"/>
      <c r="Q607" s="123"/>
      <c r="R607" s="123"/>
      <c r="S607" s="123"/>
      <c r="T607" s="13">
        <f>LISTA[[#This Row],[TARIFA OUT ]]+LISTA[[#This Row],[TARIFA IN]]+LISTA[[#This Row],[VALOR FINAL]]</f>
        <v>0</v>
      </c>
    </row>
    <row r="608" spans="1:20" x14ac:dyDescent="0.2">
      <c r="A608" s="13"/>
      <c r="B608" s="14"/>
      <c r="C608" s="14"/>
      <c r="D608" s="14"/>
      <c r="E608" s="14"/>
      <c r="F608" s="14"/>
      <c r="G608" s="14"/>
      <c r="H608" s="14"/>
      <c r="I608" s="14"/>
      <c r="J608" s="14"/>
      <c r="K608" s="13"/>
      <c r="L608" s="13"/>
      <c r="M608" s="13"/>
      <c r="N608" s="13"/>
      <c r="O608" s="76"/>
      <c r="P608" s="81"/>
      <c r="Q608" s="123"/>
      <c r="R608" s="123"/>
      <c r="S608" s="123"/>
      <c r="T608" s="13">
        <f>LISTA[[#This Row],[TARIFA OUT ]]+LISTA[[#This Row],[TARIFA IN]]+LISTA[[#This Row],[VALOR FINAL]]</f>
        <v>0</v>
      </c>
    </row>
    <row r="609" spans="1:20" x14ac:dyDescent="0.2">
      <c r="A609" s="13"/>
      <c r="B609" s="14"/>
      <c r="C609" s="14"/>
      <c r="D609" s="14"/>
      <c r="E609" s="14"/>
      <c r="F609" s="14"/>
      <c r="G609" s="14"/>
      <c r="H609" s="14"/>
      <c r="I609" s="14"/>
      <c r="J609" s="14"/>
      <c r="K609" s="13"/>
      <c r="L609" s="13"/>
      <c r="M609" s="13"/>
      <c r="N609" s="13"/>
      <c r="O609" s="76"/>
      <c r="P609" s="81"/>
      <c r="Q609" s="123"/>
      <c r="R609" s="123"/>
      <c r="S609" s="123"/>
      <c r="T609" s="13">
        <f>LISTA[[#This Row],[TARIFA OUT ]]+LISTA[[#This Row],[TARIFA IN]]+LISTA[[#This Row],[VALOR FINAL]]</f>
        <v>0</v>
      </c>
    </row>
    <row r="610" spans="1:20" x14ac:dyDescent="0.2">
      <c r="A610" s="13"/>
      <c r="B610" s="14"/>
      <c r="C610" s="14"/>
      <c r="D610" s="14"/>
      <c r="E610" s="14"/>
      <c r="F610" s="14"/>
      <c r="G610" s="14"/>
      <c r="H610" s="14"/>
      <c r="I610" s="14"/>
      <c r="J610" s="14"/>
      <c r="K610" s="13"/>
      <c r="L610" s="13"/>
      <c r="M610" s="13"/>
      <c r="N610" s="13"/>
      <c r="O610" s="76"/>
      <c r="P610" s="81"/>
      <c r="Q610" s="123"/>
      <c r="R610" s="123"/>
      <c r="S610" s="123"/>
      <c r="T610" s="13">
        <f>LISTA[[#This Row],[TARIFA OUT ]]+LISTA[[#This Row],[TARIFA IN]]+LISTA[[#This Row],[VALOR FINAL]]</f>
        <v>0</v>
      </c>
    </row>
    <row r="611" spans="1:20" x14ac:dyDescent="0.2">
      <c r="A611" s="13"/>
      <c r="B611" s="14"/>
      <c r="C611" s="14"/>
      <c r="D611" s="14"/>
      <c r="E611" s="14"/>
      <c r="F611" s="14"/>
      <c r="G611" s="14"/>
      <c r="H611" s="14"/>
      <c r="I611" s="14"/>
      <c r="J611" s="14"/>
      <c r="K611" s="13"/>
      <c r="L611" s="13"/>
      <c r="M611" s="13"/>
      <c r="N611" s="13"/>
      <c r="O611" s="76"/>
      <c r="P611" s="81"/>
      <c r="Q611" s="123"/>
      <c r="R611" s="123"/>
      <c r="S611" s="123"/>
      <c r="T611" s="13">
        <f>LISTA[[#This Row],[TARIFA OUT ]]+LISTA[[#This Row],[TARIFA IN]]+LISTA[[#This Row],[VALOR FINAL]]</f>
        <v>0</v>
      </c>
    </row>
    <row r="612" spans="1:20" x14ac:dyDescent="0.2">
      <c r="A612" s="13"/>
      <c r="B612" s="14"/>
      <c r="C612" s="14"/>
      <c r="D612" s="14"/>
      <c r="E612" s="14"/>
      <c r="F612" s="14"/>
      <c r="G612" s="14"/>
      <c r="H612" s="14"/>
      <c r="I612" s="14"/>
      <c r="J612" s="14"/>
      <c r="K612" s="13"/>
      <c r="L612" s="13"/>
      <c r="M612" s="13"/>
      <c r="N612" s="13"/>
      <c r="O612" s="76"/>
      <c r="P612" s="81"/>
      <c r="Q612" s="123"/>
      <c r="R612" s="123"/>
      <c r="S612" s="123"/>
      <c r="T612" s="13">
        <f>LISTA[[#This Row],[TARIFA OUT ]]+LISTA[[#This Row],[TARIFA IN]]+LISTA[[#This Row],[VALOR FINAL]]</f>
        <v>0</v>
      </c>
    </row>
    <row r="613" spans="1:20" x14ac:dyDescent="0.2">
      <c r="A613" s="13"/>
      <c r="B613" s="14"/>
      <c r="C613" s="14"/>
      <c r="D613" s="14"/>
      <c r="E613" s="14"/>
      <c r="F613" s="14"/>
      <c r="G613" s="14"/>
      <c r="H613" s="14"/>
      <c r="I613" s="14"/>
      <c r="J613" s="14"/>
      <c r="K613" s="13"/>
      <c r="L613" s="13"/>
      <c r="M613" s="13"/>
      <c r="N613" s="13"/>
      <c r="O613" s="76"/>
      <c r="P613" s="81"/>
      <c r="Q613" s="123"/>
      <c r="R613" s="123"/>
      <c r="S613" s="123"/>
      <c r="T613" s="13">
        <f>LISTA[[#This Row],[TARIFA OUT ]]+LISTA[[#This Row],[TARIFA IN]]+LISTA[[#This Row],[VALOR FINAL]]</f>
        <v>0</v>
      </c>
    </row>
    <row r="614" spans="1:20" x14ac:dyDescent="0.2">
      <c r="A614" s="13"/>
      <c r="B614" s="14"/>
      <c r="C614" s="14"/>
      <c r="D614" s="14"/>
      <c r="E614" s="14"/>
      <c r="F614" s="14"/>
      <c r="G614" s="14"/>
      <c r="H614" s="14"/>
      <c r="I614" s="14"/>
      <c r="J614" s="14"/>
      <c r="K614" s="13"/>
      <c r="L614" s="13"/>
      <c r="M614" s="13"/>
      <c r="N614" s="13"/>
      <c r="O614" s="76"/>
      <c r="P614" s="81"/>
      <c r="Q614" s="123"/>
      <c r="R614" s="123"/>
      <c r="S614" s="123"/>
      <c r="T614" s="13">
        <f>LISTA[[#This Row],[TARIFA OUT ]]+LISTA[[#This Row],[TARIFA IN]]+LISTA[[#This Row],[VALOR FINAL]]</f>
        <v>0</v>
      </c>
    </row>
    <row r="615" spans="1:20" x14ac:dyDescent="0.2">
      <c r="A615" s="13"/>
      <c r="B615" s="14"/>
      <c r="C615" s="14"/>
      <c r="D615" s="14"/>
      <c r="E615" s="14"/>
      <c r="F615" s="14"/>
      <c r="G615" s="14"/>
      <c r="H615" s="14"/>
      <c r="I615" s="14"/>
      <c r="J615" s="14"/>
      <c r="K615" s="13"/>
      <c r="L615" s="13"/>
      <c r="M615" s="13"/>
      <c r="N615" s="13"/>
      <c r="O615" s="76"/>
      <c r="P615" s="81"/>
      <c r="Q615" s="123"/>
      <c r="R615" s="123"/>
      <c r="S615" s="123"/>
      <c r="T615" s="13">
        <f>LISTA[[#This Row],[TARIFA OUT ]]+LISTA[[#This Row],[TARIFA IN]]+LISTA[[#This Row],[VALOR FINAL]]</f>
        <v>0</v>
      </c>
    </row>
    <row r="616" spans="1:20" x14ac:dyDescent="0.2">
      <c r="A616" s="13"/>
      <c r="B616" s="14"/>
      <c r="C616" s="14"/>
      <c r="D616" s="14"/>
      <c r="E616" s="14"/>
      <c r="F616" s="14"/>
      <c r="G616" s="14"/>
      <c r="H616" s="14"/>
      <c r="I616" s="14"/>
      <c r="J616" s="14"/>
      <c r="K616" s="13"/>
      <c r="L616" s="13"/>
      <c r="M616" s="13"/>
      <c r="N616" s="13"/>
      <c r="O616" s="76"/>
      <c r="P616" s="81"/>
      <c r="Q616" s="123"/>
      <c r="R616" s="123"/>
      <c r="S616" s="123"/>
      <c r="T616" s="13">
        <f>LISTA[[#This Row],[TARIFA OUT ]]+LISTA[[#This Row],[TARIFA IN]]+LISTA[[#This Row],[VALOR FINAL]]</f>
        <v>0</v>
      </c>
    </row>
    <row r="617" spans="1:20" x14ac:dyDescent="0.2">
      <c r="A617" s="13"/>
      <c r="B617" s="14"/>
      <c r="C617" s="14"/>
      <c r="D617" s="14"/>
      <c r="E617" s="14"/>
      <c r="F617" s="14"/>
      <c r="G617" s="14"/>
      <c r="H617" s="14"/>
      <c r="I617" s="14"/>
      <c r="J617" s="14"/>
      <c r="K617" s="13"/>
      <c r="L617" s="13"/>
      <c r="M617" s="13"/>
      <c r="N617" s="13"/>
      <c r="O617" s="76"/>
      <c r="P617" s="81"/>
      <c r="Q617" s="123"/>
      <c r="R617" s="123"/>
      <c r="S617" s="123"/>
      <c r="T617" s="13">
        <f>LISTA[[#This Row],[TARIFA OUT ]]+LISTA[[#This Row],[TARIFA IN]]+LISTA[[#This Row],[VALOR FINAL]]</f>
        <v>0</v>
      </c>
    </row>
    <row r="618" spans="1:20" x14ac:dyDescent="0.2">
      <c r="A618" s="13"/>
      <c r="B618" s="14"/>
      <c r="C618" s="14"/>
      <c r="D618" s="14"/>
      <c r="E618" s="14"/>
      <c r="F618" s="14"/>
      <c r="G618" s="14"/>
      <c r="H618" s="14"/>
      <c r="I618" s="14"/>
      <c r="J618" s="14"/>
      <c r="K618" s="13"/>
      <c r="L618" s="13"/>
      <c r="M618" s="13"/>
      <c r="N618" s="13"/>
      <c r="O618" s="76"/>
      <c r="P618" s="81"/>
      <c r="Q618" s="123"/>
      <c r="R618" s="123"/>
      <c r="S618" s="123"/>
      <c r="T618" s="13">
        <f>LISTA[[#This Row],[TARIFA OUT ]]+LISTA[[#This Row],[TARIFA IN]]+LISTA[[#This Row],[VALOR FINAL]]</f>
        <v>0</v>
      </c>
    </row>
    <row r="619" spans="1:20" x14ac:dyDescent="0.2">
      <c r="A619" s="13"/>
      <c r="B619" s="14"/>
      <c r="C619" s="14"/>
      <c r="D619" s="14"/>
      <c r="E619" s="14"/>
      <c r="F619" s="14"/>
      <c r="G619" s="14"/>
      <c r="H619" s="14"/>
      <c r="I619" s="14"/>
      <c r="J619" s="14"/>
      <c r="K619" s="13"/>
      <c r="L619" s="13"/>
      <c r="M619" s="13"/>
      <c r="N619" s="13"/>
      <c r="O619" s="76"/>
      <c r="P619" s="81"/>
      <c r="Q619" s="123"/>
      <c r="R619" s="123"/>
      <c r="S619" s="123"/>
      <c r="T619" s="13">
        <f>LISTA[[#This Row],[TARIFA OUT ]]+LISTA[[#This Row],[TARIFA IN]]+LISTA[[#This Row],[VALOR FINAL]]</f>
        <v>0</v>
      </c>
    </row>
    <row r="620" spans="1:20" x14ac:dyDescent="0.2">
      <c r="A620" s="13"/>
      <c r="B620" s="14"/>
      <c r="C620" s="14"/>
      <c r="D620" s="14"/>
      <c r="E620" s="14"/>
      <c r="F620" s="14"/>
      <c r="G620" s="14"/>
      <c r="H620" s="14"/>
      <c r="I620" s="14"/>
      <c r="J620" s="14"/>
      <c r="K620" s="13"/>
      <c r="L620" s="13"/>
      <c r="M620" s="13"/>
      <c r="N620" s="13"/>
      <c r="O620" s="76"/>
      <c r="P620" s="81"/>
      <c r="Q620" s="123"/>
      <c r="R620" s="123"/>
      <c r="S620" s="123"/>
      <c r="T620" s="13">
        <f>LISTA[[#This Row],[TARIFA OUT ]]+LISTA[[#This Row],[TARIFA IN]]+LISTA[[#This Row],[VALOR FINAL]]</f>
        <v>0</v>
      </c>
    </row>
    <row r="621" spans="1:20" x14ac:dyDescent="0.2">
      <c r="A621" s="13"/>
      <c r="B621" s="14"/>
      <c r="C621" s="14"/>
      <c r="D621" s="14"/>
      <c r="E621" s="14"/>
      <c r="F621" s="14"/>
      <c r="G621" s="14"/>
      <c r="H621" s="14"/>
      <c r="I621" s="14"/>
      <c r="J621" s="14"/>
      <c r="K621" s="13"/>
      <c r="L621" s="13"/>
      <c r="M621" s="13"/>
      <c r="N621" s="13"/>
      <c r="O621" s="76"/>
      <c r="P621" s="81"/>
      <c r="Q621" s="123"/>
      <c r="R621" s="123"/>
      <c r="S621" s="123"/>
      <c r="T621" s="13">
        <f>LISTA[[#This Row],[TARIFA OUT ]]+LISTA[[#This Row],[TARIFA IN]]+LISTA[[#This Row],[VALOR FINAL]]</f>
        <v>0</v>
      </c>
    </row>
    <row r="622" spans="1:20" x14ac:dyDescent="0.2">
      <c r="A622" s="13"/>
      <c r="B622" s="14"/>
      <c r="C622" s="14"/>
      <c r="D622" s="14"/>
      <c r="E622" s="14"/>
      <c r="F622" s="14"/>
      <c r="G622" s="14"/>
      <c r="H622" s="14"/>
      <c r="I622" s="14"/>
      <c r="J622" s="14"/>
      <c r="K622" s="13"/>
      <c r="L622" s="13"/>
      <c r="M622" s="13"/>
      <c r="N622" s="13"/>
      <c r="O622" s="76"/>
      <c r="P622" s="81"/>
      <c r="Q622" s="123"/>
      <c r="R622" s="123"/>
      <c r="S622" s="123"/>
      <c r="T622" s="13">
        <f>LISTA[[#This Row],[TARIFA OUT ]]+LISTA[[#This Row],[TARIFA IN]]+LISTA[[#This Row],[VALOR FINAL]]</f>
        <v>0</v>
      </c>
    </row>
    <row r="623" spans="1:20" x14ac:dyDescent="0.2">
      <c r="A623" s="13"/>
      <c r="B623" s="14"/>
      <c r="C623" s="14"/>
      <c r="D623" s="14"/>
      <c r="E623" s="14"/>
      <c r="F623" s="14"/>
      <c r="G623" s="14"/>
      <c r="H623" s="14"/>
      <c r="I623" s="14"/>
      <c r="J623" s="14"/>
      <c r="K623" s="13"/>
      <c r="L623" s="13"/>
      <c r="M623" s="13"/>
      <c r="N623" s="13"/>
      <c r="O623" s="76"/>
      <c r="P623" s="81"/>
      <c r="Q623" s="123"/>
      <c r="R623" s="123"/>
      <c r="S623" s="123"/>
      <c r="T623" s="13">
        <f>LISTA[[#This Row],[TARIFA OUT ]]+LISTA[[#This Row],[TARIFA IN]]+LISTA[[#This Row],[VALOR FINAL]]</f>
        <v>0</v>
      </c>
    </row>
    <row r="624" spans="1:20" x14ac:dyDescent="0.2">
      <c r="A624" s="13"/>
      <c r="B624" s="14"/>
      <c r="C624" s="14"/>
      <c r="D624" s="14"/>
      <c r="E624" s="14"/>
      <c r="F624" s="14"/>
      <c r="G624" s="14"/>
      <c r="H624" s="14"/>
      <c r="I624" s="14"/>
      <c r="J624" s="14"/>
      <c r="K624" s="13"/>
      <c r="L624" s="13"/>
      <c r="M624" s="13"/>
      <c r="N624" s="13"/>
      <c r="O624" s="76"/>
      <c r="P624" s="81"/>
      <c r="Q624" s="123"/>
      <c r="R624" s="123"/>
      <c r="S624" s="123"/>
      <c r="T624" s="13">
        <f>LISTA[[#This Row],[TARIFA OUT ]]+LISTA[[#This Row],[TARIFA IN]]+LISTA[[#This Row],[VALOR FINAL]]</f>
        <v>0</v>
      </c>
    </row>
    <row r="625" spans="1:20" x14ac:dyDescent="0.2">
      <c r="A625" s="13"/>
      <c r="B625" s="14"/>
      <c r="C625" s="14"/>
      <c r="D625" s="14"/>
      <c r="E625" s="14"/>
      <c r="F625" s="14"/>
      <c r="G625" s="14"/>
      <c r="H625" s="14"/>
      <c r="I625" s="14"/>
      <c r="J625" s="14"/>
      <c r="K625" s="13"/>
      <c r="L625" s="13"/>
      <c r="M625" s="13"/>
      <c r="N625" s="13"/>
      <c r="O625" s="76"/>
      <c r="P625" s="81"/>
      <c r="Q625" s="123"/>
      <c r="R625" s="123"/>
      <c r="S625" s="123"/>
      <c r="T625" s="13">
        <f>LISTA[[#This Row],[TARIFA OUT ]]+LISTA[[#This Row],[TARIFA IN]]+LISTA[[#This Row],[VALOR FINAL]]</f>
        <v>0</v>
      </c>
    </row>
    <row r="626" spans="1:20" x14ac:dyDescent="0.2">
      <c r="A626" s="13"/>
      <c r="B626" s="14"/>
      <c r="C626" s="14"/>
      <c r="D626" s="14"/>
      <c r="E626" s="14"/>
      <c r="F626" s="14"/>
      <c r="G626" s="14"/>
      <c r="H626" s="14"/>
      <c r="I626" s="14"/>
      <c r="J626" s="14"/>
      <c r="K626" s="13"/>
      <c r="L626" s="13"/>
      <c r="M626" s="13"/>
      <c r="N626" s="13"/>
      <c r="O626" s="76"/>
      <c r="P626" s="81"/>
      <c r="Q626" s="123"/>
      <c r="R626" s="123"/>
      <c r="S626" s="123"/>
      <c r="T626" s="13">
        <f>LISTA[[#This Row],[TARIFA OUT ]]+LISTA[[#This Row],[TARIFA IN]]+LISTA[[#This Row],[VALOR FINAL]]</f>
        <v>0</v>
      </c>
    </row>
    <row r="627" spans="1:20" x14ac:dyDescent="0.2">
      <c r="A627" s="13"/>
      <c r="B627" s="14"/>
      <c r="C627" s="14"/>
      <c r="D627" s="14"/>
      <c r="E627" s="14"/>
      <c r="F627" s="14"/>
      <c r="G627" s="14"/>
      <c r="H627" s="14"/>
      <c r="I627" s="14"/>
      <c r="J627" s="14"/>
      <c r="K627" s="13"/>
      <c r="L627" s="13"/>
      <c r="M627" s="13"/>
      <c r="N627" s="13"/>
      <c r="O627" s="76"/>
      <c r="P627" s="81"/>
      <c r="Q627" s="123"/>
      <c r="R627" s="123"/>
      <c r="S627" s="123"/>
      <c r="T627" s="13">
        <f>LISTA[[#This Row],[TARIFA OUT ]]+LISTA[[#This Row],[TARIFA IN]]+LISTA[[#This Row],[VALOR FINAL]]</f>
        <v>0</v>
      </c>
    </row>
    <row r="628" spans="1:20" x14ac:dyDescent="0.2">
      <c r="A628" s="13"/>
      <c r="B628" s="14"/>
      <c r="C628" s="14"/>
      <c r="D628" s="14"/>
      <c r="E628" s="14"/>
      <c r="F628" s="14"/>
      <c r="G628" s="14"/>
      <c r="H628" s="14"/>
      <c r="I628" s="14"/>
      <c r="J628" s="14"/>
      <c r="K628" s="13"/>
      <c r="L628" s="13"/>
      <c r="M628" s="13"/>
      <c r="N628" s="13"/>
      <c r="O628" s="76"/>
      <c r="P628" s="81"/>
      <c r="Q628" s="123"/>
      <c r="R628" s="123"/>
      <c r="S628" s="123"/>
      <c r="T628" s="13">
        <f>LISTA[[#This Row],[TARIFA OUT ]]+LISTA[[#This Row],[TARIFA IN]]+LISTA[[#This Row],[VALOR FINAL]]</f>
        <v>0</v>
      </c>
    </row>
    <row r="629" spans="1:20" x14ac:dyDescent="0.2">
      <c r="A629" s="13"/>
      <c r="B629" s="14"/>
      <c r="C629" s="14"/>
      <c r="D629" s="14"/>
      <c r="E629" s="14"/>
      <c r="F629" s="14"/>
      <c r="G629" s="14"/>
      <c r="H629" s="14"/>
      <c r="I629" s="14"/>
      <c r="J629" s="14"/>
      <c r="K629" s="13"/>
      <c r="L629" s="13"/>
      <c r="M629" s="13"/>
      <c r="N629" s="13"/>
      <c r="O629" s="76"/>
      <c r="P629" s="81"/>
      <c r="Q629" s="123"/>
      <c r="R629" s="123"/>
      <c r="S629" s="123"/>
      <c r="T629" s="13">
        <f>LISTA[[#This Row],[TARIFA OUT ]]+LISTA[[#This Row],[TARIFA IN]]+LISTA[[#This Row],[VALOR FINAL]]</f>
        <v>0</v>
      </c>
    </row>
    <row r="630" spans="1:20" x14ac:dyDescent="0.2">
      <c r="A630" s="13"/>
      <c r="B630" s="14"/>
      <c r="C630" s="14"/>
      <c r="D630" s="14"/>
      <c r="E630" s="14"/>
      <c r="F630" s="14"/>
      <c r="G630" s="14"/>
      <c r="H630" s="14"/>
      <c r="I630" s="14"/>
      <c r="J630" s="14"/>
      <c r="K630" s="13"/>
      <c r="L630" s="13"/>
      <c r="M630" s="13"/>
      <c r="N630" s="13"/>
      <c r="O630" s="76"/>
      <c r="P630" s="81"/>
      <c r="Q630" s="123"/>
      <c r="R630" s="123"/>
      <c r="S630" s="123"/>
      <c r="T630" s="13">
        <f>LISTA[[#This Row],[TARIFA OUT ]]+LISTA[[#This Row],[TARIFA IN]]+LISTA[[#This Row],[VALOR FINAL]]</f>
        <v>0</v>
      </c>
    </row>
    <row r="631" spans="1:20" x14ac:dyDescent="0.2">
      <c r="A631" s="13"/>
      <c r="B631" s="14"/>
      <c r="C631" s="14"/>
      <c r="D631" s="14"/>
      <c r="E631" s="14"/>
      <c r="F631" s="14"/>
      <c r="G631" s="14"/>
      <c r="H631" s="14"/>
      <c r="I631" s="14"/>
      <c r="J631" s="14"/>
      <c r="K631" s="13"/>
      <c r="L631" s="13"/>
      <c r="M631" s="13"/>
      <c r="N631" s="13"/>
      <c r="O631" s="76"/>
      <c r="P631" s="81"/>
      <c r="Q631" s="123"/>
      <c r="R631" s="123"/>
      <c r="S631" s="123"/>
      <c r="T631" s="13">
        <f>LISTA[[#This Row],[TARIFA OUT ]]+LISTA[[#This Row],[TARIFA IN]]+LISTA[[#This Row],[VALOR FINAL]]</f>
        <v>0</v>
      </c>
    </row>
    <row r="632" spans="1:20" x14ac:dyDescent="0.2">
      <c r="A632" s="13"/>
      <c r="B632" s="14"/>
      <c r="C632" s="14"/>
      <c r="D632" s="14"/>
      <c r="E632" s="14"/>
      <c r="F632" s="14"/>
      <c r="G632" s="14"/>
      <c r="H632" s="14"/>
      <c r="I632" s="14"/>
      <c r="J632" s="14"/>
      <c r="K632" s="13"/>
      <c r="L632" s="13"/>
      <c r="M632" s="13"/>
      <c r="N632" s="13"/>
      <c r="O632" s="76"/>
      <c r="P632" s="81"/>
      <c r="Q632" s="123"/>
      <c r="R632" s="123"/>
      <c r="S632" s="123"/>
      <c r="T632" s="13">
        <f>LISTA[[#This Row],[TARIFA OUT ]]+LISTA[[#This Row],[TARIFA IN]]+LISTA[[#This Row],[VALOR FINAL]]</f>
        <v>0</v>
      </c>
    </row>
    <row r="633" spans="1:20" x14ac:dyDescent="0.2">
      <c r="A633" s="13"/>
      <c r="B633" s="14"/>
      <c r="C633" s="14"/>
      <c r="D633" s="14"/>
      <c r="E633" s="14"/>
      <c r="F633" s="14"/>
      <c r="G633" s="14"/>
      <c r="H633" s="14"/>
      <c r="I633" s="14"/>
      <c r="J633" s="14"/>
      <c r="K633" s="13"/>
      <c r="L633" s="13"/>
      <c r="M633" s="13"/>
      <c r="N633" s="13"/>
      <c r="O633" s="76"/>
      <c r="P633" s="81"/>
      <c r="Q633" s="123"/>
      <c r="R633" s="123"/>
      <c r="S633" s="123"/>
      <c r="T633" s="13">
        <f>LISTA[[#This Row],[TARIFA OUT ]]+LISTA[[#This Row],[TARIFA IN]]+LISTA[[#This Row],[VALOR FINAL]]</f>
        <v>0</v>
      </c>
    </row>
    <row r="634" spans="1:20" x14ac:dyDescent="0.2">
      <c r="A634" s="13"/>
      <c r="B634" s="14"/>
      <c r="C634" s="14"/>
      <c r="D634" s="14"/>
      <c r="E634" s="14"/>
      <c r="F634" s="14"/>
      <c r="G634" s="14"/>
      <c r="H634" s="14"/>
      <c r="I634" s="14"/>
      <c r="J634" s="14"/>
      <c r="K634" s="13"/>
      <c r="L634" s="13"/>
      <c r="M634" s="13"/>
      <c r="N634" s="13"/>
      <c r="O634" s="76"/>
      <c r="P634" s="81"/>
      <c r="Q634" s="123"/>
      <c r="R634" s="123"/>
      <c r="S634" s="123"/>
      <c r="T634" s="13">
        <f>LISTA[[#This Row],[TARIFA OUT ]]+LISTA[[#This Row],[TARIFA IN]]+LISTA[[#This Row],[VALOR FINAL]]</f>
        <v>0</v>
      </c>
    </row>
    <row r="635" spans="1:20" x14ac:dyDescent="0.2">
      <c r="A635" s="13"/>
      <c r="B635" s="14"/>
      <c r="C635" s="14"/>
      <c r="D635" s="14"/>
      <c r="E635" s="14"/>
      <c r="F635" s="14"/>
      <c r="G635" s="14"/>
      <c r="H635" s="14"/>
      <c r="I635" s="14"/>
      <c r="J635" s="14"/>
      <c r="K635" s="13"/>
      <c r="L635" s="13"/>
      <c r="M635" s="13"/>
      <c r="N635" s="13"/>
      <c r="O635" s="76"/>
      <c r="P635" s="81"/>
      <c r="Q635" s="123"/>
      <c r="R635" s="123"/>
      <c r="S635" s="123"/>
      <c r="T635" s="13">
        <f>LISTA[[#This Row],[TARIFA OUT ]]+LISTA[[#This Row],[TARIFA IN]]+LISTA[[#This Row],[VALOR FINAL]]</f>
        <v>0</v>
      </c>
    </row>
    <row r="636" spans="1:20" x14ac:dyDescent="0.2">
      <c r="A636" s="13"/>
      <c r="B636" s="14"/>
      <c r="C636" s="14"/>
      <c r="D636" s="14"/>
      <c r="E636" s="14"/>
      <c r="F636" s="14"/>
      <c r="G636" s="14"/>
      <c r="H636" s="14"/>
      <c r="I636" s="14"/>
      <c r="J636" s="14"/>
      <c r="K636" s="13"/>
      <c r="L636" s="13"/>
      <c r="M636" s="13"/>
      <c r="N636" s="13"/>
      <c r="O636" s="76"/>
      <c r="P636" s="81"/>
      <c r="Q636" s="123"/>
      <c r="R636" s="123"/>
      <c r="S636" s="123"/>
      <c r="T636" s="13">
        <f>LISTA[[#This Row],[TARIFA OUT ]]+LISTA[[#This Row],[TARIFA IN]]+LISTA[[#This Row],[VALOR FINAL]]</f>
        <v>0</v>
      </c>
    </row>
    <row r="637" spans="1:20" x14ac:dyDescent="0.2">
      <c r="A637" s="13"/>
      <c r="B637" s="14"/>
      <c r="C637" s="14"/>
      <c r="D637" s="14"/>
      <c r="E637" s="14"/>
      <c r="F637" s="14"/>
      <c r="G637" s="14"/>
      <c r="H637" s="14"/>
      <c r="I637" s="14"/>
      <c r="J637" s="14"/>
      <c r="K637" s="13"/>
      <c r="L637" s="13"/>
      <c r="M637" s="13"/>
      <c r="N637" s="13"/>
      <c r="O637" s="76"/>
      <c r="P637" s="81"/>
      <c r="Q637" s="123"/>
      <c r="R637" s="123"/>
      <c r="S637" s="123"/>
      <c r="T637" s="13">
        <f>LISTA[[#This Row],[TARIFA OUT ]]+LISTA[[#This Row],[TARIFA IN]]+LISTA[[#This Row],[VALOR FINAL]]</f>
        <v>0</v>
      </c>
    </row>
    <row r="638" spans="1:20" x14ac:dyDescent="0.2">
      <c r="A638" s="13"/>
      <c r="B638" s="14"/>
      <c r="C638" s="14"/>
      <c r="D638" s="14"/>
      <c r="E638" s="14"/>
      <c r="F638" s="14"/>
      <c r="G638" s="14"/>
      <c r="H638" s="14"/>
      <c r="I638" s="14"/>
      <c r="J638" s="14"/>
      <c r="K638" s="13"/>
      <c r="L638" s="13"/>
      <c r="M638" s="13"/>
      <c r="N638" s="13"/>
      <c r="O638" s="76"/>
      <c r="P638" s="81"/>
      <c r="Q638" s="123"/>
      <c r="R638" s="123"/>
      <c r="S638" s="123"/>
      <c r="T638" s="13">
        <f>LISTA[[#This Row],[TARIFA OUT ]]+LISTA[[#This Row],[TARIFA IN]]+LISTA[[#This Row],[VALOR FINAL]]</f>
        <v>0</v>
      </c>
    </row>
    <row r="639" spans="1:20" x14ac:dyDescent="0.2">
      <c r="A639" s="13"/>
      <c r="B639" s="14"/>
      <c r="C639" s="14"/>
      <c r="D639" s="14"/>
      <c r="E639" s="14"/>
      <c r="F639" s="14"/>
      <c r="G639" s="14"/>
      <c r="H639" s="14"/>
      <c r="I639" s="14"/>
      <c r="J639" s="14"/>
      <c r="K639" s="13"/>
      <c r="L639" s="13"/>
      <c r="M639" s="13"/>
      <c r="N639" s="13"/>
      <c r="O639" s="76"/>
      <c r="P639" s="81"/>
      <c r="Q639" s="123"/>
      <c r="R639" s="123"/>
      <c r="S639" s="123"/>
      <c r="T639" s="13">
        <f>LISTA[[#This Row],[TARIFA OUT ]]+LISTA[[#This Row],[TARIFA IN]]+LISTA[[#This Row],[VALOR FINAL]]</f>
        <v>0</v>
      </c>
    </row>
    <row r="640" spans="1:20" x14ac:dyDescent="0.2">
      <c r="A640" s="13"/>
      <c r="B640" s="14"/>
      <c r="C640" s="14"/>
      <c r="D640" s="14"/>
      <c r="E640" s="14"/>
      <c r="F640" s="14"/>
      <c r="G640" s="14"/>
      <c r="H640" s="14"/>
      <c r="I640" s="14"/>
      <c r="J640" s="14"/>
      <c r="K640" s="13"/>
      <c r="L640" s="13"/>
      <c r="M640" s="13"/>
      <c r="N640" s="13"/>
      <c r="O640" s="76"/>
      <c r="P640" s="81"/>
      <c r="Q640" s="123"/>
      <c r="R640" s="123"/>
      <c r="S640" s="123"/>
      <c r="T640" s="13">
        <f>LISTA[[#This Row],[TARIFA OUT ]]+LISTA[[#This Row],[TARIFA IN]]+LISTA[[#This Row],[VALOR FINAL]]</f>
        <v>0</v>
      </c>
    </row>
    <row r="641" spans="1:20" x14ac:dyDescent="0.2">
      <c r="A641" s="13"/>
      <c r="B641" s="14"/>
      <c r="C641" s="14"/>
      <c r="D641" s="14"/>
      <c r="E641" s="14"/>
      <c r="F641" s="14"/>
      <c r="G641" s="14"/>
      <c r="H641" s="14"/>
      <c r="I641" s="14"/>
      <c r="J641" s="14"/>
      <c r="K641" s="13"/>
      <c r="L641" s="13"/>
      <c r="M641" s="13"/>
      <c r="N641" s="13"/>
      <c r="O641" s="76"/>
      <c r="P641" s="81"/>
      <c r="Q641" s="123"/>
      <c r="R641" s="123"/>
      <c r="S641" s="123"/>
      <c r="T641" s="13">
        <f>LISTA[[#This Row],[TARIFA OUT ]]+LISTA[[#This Row],[TARIFA IN]]+LISTA[[#This Row],[VALOR FINAL]]</f>
        <v>0</v>
      </c>
    </row>
    <row r="642" spans="1:20" x14ac:dyDescent="0.2">
      <c r="A642" s="13"/>
      <c r="B642" s="14"/>
      <c r="C642" s="14"/>
      <c r="D642" s="14"/>
      <c r="E642" s="14"/>
      <c r="F642" s="14"/>
      <c r="G642" s="14"/>
      <c r="H642" s="14"/>
      <c r="I642" s="14"/>
      <c r="J642" s="14"/>
      <c r="K642" s="13"/>
      <c r="L642" s="13"/>
      <c r="M642" s="13"/>
      <c r="N642" s="13"/>
      <c r="O642" s="76"/>
      <c r="P642" s="81"/>
      <c r="Q642" s="123"/>
      <c r="R642" s="123"/>
      <c r="S642" s="123"/>
      <c r="T642" s="13">
        <f>LISTA[[#This Row],[TARIFA OUT ]]+LISTA[[#This Row],[TARIFA IN]]+LISTA[[#This Row],[VALOR FINAL]]</f>
        <v>0</v>
      </c>
    </row>
    <row r="643" spans="1:20" x14ac:dyDescent="0.2">
      <c r="A643" s="13"/>
      <c r="B643" s="14"/>
      <c r="C643" s="14"/>
      <c r="D643" s="14"/>
      <c r="E643" s="14"/>
      <c r="F643" s="14"/>
      <c r="G643" s="14"/>
      <c r="H643" s="14"/>
      <c r="I643" s="14"/>
      <c r="J643" s="14"/>
      <c r="K643" s="13"/>
      <c r="L643" s="13"/>
      <c r="M643" s="13"/>
      <c r="N643" s="13"/>
      <c r="O643" s="76"/>
      <c r="P643" s="81"/>
      <c r="Q643" s="123"/>
      <c r="R643" s="123"/>
      <c r="S643" s="123"/>
      <c r="T643" s="13">
        <f>LISTA[[#This Row],[TARIFA OUT ]]+LISTA[[#This Row],[TARIFA IN]]+LISTA[[#This Row],[VALOR FINAL]]</f>
        <v>0</v>
      </c>
    </row>
    <row r="644" spans="1:20" x14ac:dyDescent="0.2">
      <c r="A644" s="13"/>
      <c r="B644" s="14"/>
      <c r="C644" s="14"/>
      <c r="D644" s="14"/>
      <c r="E644" s="14"/>
      <c r="F644" s="14"/>
      <c r="G644" s="14"/>
      <c r="H644" s="14"/>
      <c r="I644" s="14"/>
      <c r="J644" s="14"/>
      <c r="K644" s="13"/>
      <c r="L644" s="13"/>
      <c r="M644" s="13"/>
      <c r="N644" s="13"/>
      <c r="O644" s="76"/>
      <c r="P644" s="81"/>
      <c r="Q644" s="123"/>
      <c r="R644" s="123"/>
      <c r="S644" s="123"/>
      <c r="T644" s="13">
        <f>LISTA[[#This Row],[TARIFA OUT ]]+LISTA[[#This Row],[TARIFA IN]]+LISTA[[#This Row],[VALOR FINAL]]</f>
        <v>0</v>
      </c>
    </row>
    <row r="645" spans="1:20" x14ac:dyDescent="0.2">
      <c r="A645" s="13"/>
      <c r="B645" s="14"/>
      <c r="C645" s="14"/>
      <c r="D645" s="14"/>
      <c r="E645" s="14"/>
      <c r="F645" s="14"/>
      <c r="G645" s="14"/>
      <c r="H645" s="14"/>
      <c r="I645" s="14"/>
      <c r="J645" s="14"/>
      <c r="K645" s="13"/>
      <c r="L645" s="13"/>
      <c r="M645" s="13"/>
      <c r="N645" s="13"/>
      <c r="O645" s="76"/>
      <c r="P645" s="81"/>
      <c r="Q645" s="123"/>
      <c r="R645" s="123"/>
      <c r="S645" s="123"/>
      <c r="T645" s="13">
        <f>LISTA[[#This Row],[TARIFA OUT ]]+LISTA[[#This Row],[TARIFA IN]]+LISTA[[#This Row],[VALOR FINAL]]</f>
        <v>0</v>
      </c>
    </row>
    <row r="646" spans="1:20" x14ac:dyDescent="0.2">
      <c r="A646" s="13"/>
      <c r="B646" s="14"/>
      <c r="C646" s="14"/>
      <c r="D646" s="14"/>
      <c r="E646" s="14"/>
      <c r="F646" s="14"/>
      <c r="G646" s="14"/>
      <c r="H646" s="14"/>
      <c r="I646" s="14"/>
      <c r="J646" s="14"/>
      <c r="K646" s="13"/>
      <c r="L646" s="13"/>
      <c r="M646" s="13"/>
      <c r="N646" s="13"/>
      <c r="O646" s="76"/>
      <c r="P646" s="81"/>
      <c r="Q646" s="123"/>
      <c r="R646" s="123"/>
      <c r="S646" s="123"/>
      <c r="T646" s="13">
        <f>LISTA[[#This Row],[TARIFA OUT ]]+LISTA[[#This Row],[TARIFA IN]]+LISTA[[#This Row],[VALOR FINAL]]</f>
        <v>0</v>
      </c>
    </row>
    <row r="647" spans="1:20" x14ac:dyDescent="0.2">
      <c r="A647" s="13"/>
      <c r="B647" s="14"/>
      <c r="C647" s="14"/>
      <c r="D647" s="14"/>
      <c r="E647" s="14"/>
      <c r="F647" s="14"/>
      <c r="G647" s="14"/>
      <c r="H647" s="14"/>
      <c r="I647" s="14"/>
      <c r="J647" s="14"/>
      <c r="K647" s="13"/>
      <c r="L647" s="13"/>
      <c r="M647" s="13"/>
      <c r="N647" s="13"/>
      <c r="O647" s="76"/>
      <c r="P647" s="81"/>
      <c r="Q647" s="123"/>
      <c r="R647" s="123"/>
      <c r="S647" s="123"/>
      <c r="T647" s="13">
        <f>LISTA[[#This Row],[TARIFA OUT ]]+LISTA[[#This Row],[TARIFA IN]]+LISTA[[#This Row],[VALOR FINAL]]</f>
        <v>0</v>
      </c>
    </row>
    <row r="648" spans="1:20" x14ac:dyDescent="0.2">
      <c r="A648" s="13"/>
      <c r="B648" s="14"/>
      <c r="C648" s="14"/>
      <c r="D648" s="14"/>
      <c r="E648" s="14"/>
      <c r="F648" s="14"/>
      <c r="G648" s="14"/>
      <c r="H648" s="14"/>
      <c r="I648" s="14"/>
      <c r="J648" s="14"/>
      <c r="K648" s="13"/>
      <c r="L648" s="13"/>
      <c r="M648" s="13"/>
      <c r="N648" s="13"/>
      <c r="O648" s="76"/>
      <c r="P648" s="81"/>
      <c r="Q648" s="123"/>
      <c r="R648" s="123"/>
      <c r="S648" s="123"/>
      <c r="T648" s="13">
        <f>LISTA[[#This Row],[TARIFA OUT ]]+LISTA[[#This Row],[TARIFA IN]]+LISTA[[#This Row],[VALOR FINAL]]</f>
        <v>0</v>
      </c>
    </row>
    <row r="649" spans="1:20" x14ac:dyDescent="0.2">
      <c r="A649" s="13"/>
      <c r="B649" s="14"/>
      <c r="C649" s="14"/>
      <c r="D649" s="14"/>
      <c r="E649" s="14"/>
      <c r="F649" s="14"/>
      <c r="G649" s="14"/>
      <c r="H649" s="14"/>
      <c r="I649" s="14"/>
      <c r="J649" s="14"/>
      <c r="K649" s="13"/>
      <c r="L649" s="13"/>
      <c r="M649" s="13"/>
      <c r="N649" s="13"/>
      <c r="O649" s="76"/>
      <c r="P649" s="81"/>
      <c r="Q649" s="123"/>
      <c r="R649" s="123"/>
      <c r="S649" s="123"/>
      <c r="T649" s="13">
        <f>LISTA[[#This Row],[TARIFA OUT ]]+LISTA[[#This Row],[TARIFA IN]]+LISTA[[#This Row],[VALOR FINAL]]</f>
        <v>0</v>
      </c>
    </row>
    <row r="650" spans="1:20" x14ac:dyDescent="0.2">
      <c r="A650" s="13"/>
      <c r="B650" s="14"/>
      <c r="C650" s="14"/>
      <c r="D650" s="14"/>
      <c r="E650" s="14"/>
      <c r="F650" s="14"/>
      <c r="G650" s="14"/>
      <c r="H650" s="14"/>
      <c r="I650" s="14"/>
      <c r="J650" s="14"/>
      <c r="K650" s="13"/>
      <c r="L650" s="13"/>
      <c r="M650" s="13"/>
      <c r="N650" s="13"/>
      <c r="O650" s="76"/>
      <c r="P650" s="81"/>
      <c r="Q650" s="123"/>
      <c r="R650" s="123"/>
      <c r="S650" s="123"/>
      <c r="T650" s="13">
        <f>LISTA[[#This Row],[TARIFA OUT ]]+LISTA[[#This Row],[TARIFA IN]]+LISTA[[#This Row],[VALOR FINAL]]</f>
        <v>0</v>
      </c>
    </row>
    <row r="651" spans="1:20" x14ac:dyDescent="0.2">
      <c r="A651" s="13"/>
      <c r="B651" s="14"/>
      <c r="C651" s="14"/>
      <c r="D651" s="14"/>
      <c r="E651" s="14"/>
      <c r="F651" s="14"/>
      <c r="G651" s="14"/>
      <c r="H651" s="14"/>
      <c r="I651" s="14"/>
      <c r="J651" s="14"/>
      <c r="K651" s="13"/>
      <c r="L651" s="13"/>
      <c r="M651" s="13"/>
      <c r="N651" s="13"/>
      <c r="O651" s="76"/>
      <c r="P651" s="81"/>
      <c r="Q651" s="123"/>
      <c r="R651" s="123"/>
      <c r="S651" s="123"/>
      <c r="T651" s="13">
        <f>LISTA[[#This Row],[TARIFA OUT ]]+LISTA[[#This Row],[TARIFA IN]]+LISTA[[#This Row],[VALOR FINAL]]</f>
        <v>0</v>
      </c>
    </row>
    <row r="652" spans="1:20" x14ac:dyDescent="0.2">
      <c r="A652" s="13"/>
      <c r="B652" s="14"/>
      <c r="C652" s="14"/>
      <c r="D652" s="14"/>
      <c r="E652" s="14"/>
      <c r="F652" s="14"/>
      <c r="G652" s="14"/>
      <c r="H652" s="14"/>
      <c r="I652" s="14"/>
      <c r="J652" s="14"/>
      <c r="K652" s="13"/>
      <c r="L652" s="13"/>
      <c r="M652" s="13"/>
      <c r="N652" s="13"/>
      <c r="O652" s="76"/>
      <c r="P652" s="81"/>
      <c r="Q652" s="123"/>
      <c r="R652" s="123"/>
      <c r="S652" s="123"/>
      <c r="T652" s="13">
        <f>LISTA[[#This Row],[TARIFA OUT ]]+LISTA[[#This Row],[TARIFA IN]]+LISTA[[#This Row],[VALOR FINAL]]</f>
        <v>0</v>
      </c>
    </row>
    <row r="653" spans="1:20" x14ac:dyDescent="0.2">
      <c r="A653" s="13"/>
      <c r="B653" s="14"/>
      <c r="C653" s="14"/>
      <c r="D653" s="14"/>
      <c r="E653" s="14"/>
      <c r="F653" s="14"/>
      <c r="G653" s="14"/>
      <c r="H653" s="14"/>
      <c r="I653" s="14"/>
      <c r="J653" s="14"/>
      <c r="K653" s="13"/>
      <c r="L653" s="13"/>
      <c r="M653" s="13"/>
      <c r="N653" s="13"/>
      <c r="O653" s="76"/>
      <c r="P653" s="81"/>
      <c r="Q653" s="123"/>
      <c r="R653" s="123"/>
      <c r="S653" s="123"/>
      <c r="T653" s="13">
        <f>LISTA[[#This Row],[TARIFA OUT ]]+LISTA[[#This Row],[TARIFA IN]]+LISTA[[#This Row],[VALOR FINAL]]</f>
        <v>0</v>
      </c>
    </row>
    <row r="654" spans="1:20" x14ac:dyDescent="0.2">
      <c r="A654" s="13"/>
      <c r="B654" s="14"/>
      <c r="C654" s="14"/>
      <c r="D654" s="14"/>
      <c r="E654" s="14"/>
      <c r="F654" s="14"/>
      <c r="G654" s="14"/>
      <c r="H654" s="14"/>
      <c r="I654" s="14"/>
      <c r="J654" s="14"/>
      <c r="K654" s="13"/>
      <c r="L654" s="13"/>
      <c r="M654" s="13"/>
      <c r="N654" s="13"/>
      <c r="O654" s="76"/>
      <c r="P654" s="81"/>
      <c r="Q654" s="123"/>
      <c r="R654" s="123"/>
      <c r="S654" s="123"/>
      <c r="T654" s="13">
        <f>LISTA[[#This Row],[TARIFA OUT ]]+LISTA[[#This Row],[TARIFA IN]]+LISTA[[#This Row],[VALOR FINAL]]</f>
        <v>0</v>
      </c>
    </row>
    <row r="655" spans="1:20" x14ac:dyDescent="0.2">
      <c r="A655" s="13"/>
      <c r="B655" s="14"/>
      <c r="C655" s="14"/>
      <c r="D655" s="14"/>
      <c r="E655" s="14"/>
      <c r="F655" s="14"/>
      <c r="G655" s="14"/>
      <c r="H655" s="14"/>
      <c r="I655" s="14"/>
      <c r="J655" s="14"/>
      <c r="K655" s="13"/>
      <c r="L655" s="13"/>
      <c r="M655" s="13"/>
      <c r="N655" s="13"/>
      <c r="O655" s="76"/>
      <c r="P655" s="81"/>
      <c r="Q655" s="123"/>
      <c r="R655" s="123"/>
      <c r="S655" s="123"/>
      <c r="T655" s="13">
        <f>LISTA[[#This Row],[TARIFA OUT ]]+LISTA[[#This Row],[TARIFA IN]]+LISTA[[#This Row],[VALOR FINAL]]</f>
        <v>0</v>
      </c>
    </row>
    <row r="656" spans="1:20" x14ac:dyDescent="0.2">
      <c r="A656" s="13"/>
      <c r="B656" s="14"/>
      <c r="C656" s="14"/>
      <c r="D656" s="14"/>
      <c r="E656" s="14"/>
      <c r="F656" s="14"/>
      <c r="G656" s="14"/>
      <c r="H656" s="14"/>
      <c r="I656" s="14"/>
      <c r="J656" s="14"/>
      <c r="K656" s="13"/>
      <c r="L656" s="13"/>
      <c r="M656" s="13"/>
      <c r="N656" s="13"/>
      <c r="O656" s="76"/>
      <c r="P656" s="81"/>
      <c r="Q656" s="123"/>
      <c r="R656" s="123"/>
      <c r="S656" s="123"/>
      <c r="T656" s="13">
        <f>LISTA[[#This Row],[TARIFA OUT ]]+LISTA[[#This Row],[TARIFA IN]]+LISTA[[#This Row],[VALOR FINAL]]</f>
        <v>0</v>
      </c>
    </row>
    <row r="657" spans="1:20" x14ac:dyDescent="0.2">
      <c r="A657" s="13"/>
      <c r="B657" s="14"/>
      <c r="C657" s="14"/>
      <c r="D657" s="14"/>
      <c r="E657" s="14"/>
      <c r="F657" s="14"/>
      <c r="G657" s="14"/>
      <c r="H657" s="14"/>
      <c r="I657" s="14"/>
      <c r="J657" s="14"/>
      <c r="K657" s="13"/>
      <c r="L657" s="13"/>
      <c r="M657" s="13"/>
      <c r="N657" s="13"/>
      <c r="O657" s="76"/>
      <c r="P657" s="81"/>
      <c r="Q657" s="123"/>
      <c r="R657" s="123"/>
      <c r="S657" s="123"/>
      <c r="T657" s="13">
        <f>LISTA[[#This Row],[TARIFA OUT ]]+LISTA[[#This Row],[TARIFA IN]]+LISTA[[#This Row],[VALOR FINAL]]</f>
        <v>0</v>
      </c>
    </row>
    <row r="658" spans="1:20" x14ac:dyDescent="0.2">
      <c r="A658" s="13"/>
      <c r="B658" s="14"/>
      <c r="C658" s="14"/>
      <c r="D658" s="14"/>
      <c r="E658" s="14"/>
      <c r="F658" s="14"/>
      <c r="G658" s="14"/>
      <c r="H658" s="14"/>
      <c r="I658" s="14"/>
      <c r="J658" s="14"/>
      <c r="K658" s="13"/>
      <c r="L658" s="13"/>
      <c r="M658" s="13"/>
      <c r="N658" s="13"/>
      <c r="O658" s="76"/>
      <c r="P658" s="81"/>
      <c r="Q658" s="123"/>
      <c r="R658" s="123"/>
      <c r="S658" s="123"/>
      <c r="T658" s="13">
        <f>LISTA[[#This Row],[TARIFA OUT ]]+LISTA[[#This Row],[TARIFA IN]]+LISTA[[#This Row],[VALOR FINAL]]</f>
        <v>0</v>
      </c>
    </row>
    <row r="659" spans="1:20" x14ac:dyDescent="0.2">
      <c r="A659" s="13"/>
      <c r="B659" s="14"/>
      <c r="C659" s="14"/>
      <c r="D659" s="14"/>
      <c r="E659" s="14"/>
      <c r="F659" s="14"/>
      <c r="G659" s="14"/>
      <c r="H659" s="14"/>
      <c r="I659" s="14"/>
      <c r="J659" s="14"/>
      <c r="K659" s="13"/>
      <c r="L659" s="13"/>
      <c r="M659" s="13"/>
      <c r="N659" s="13"/>
      <c r="O659" s="76"/>
      <c r="P659" s="81"/>
      <c r="Q659" s="123"/>
      <c r="R659" s="123"/>
      <c r="S659" s="123"/>
      <c r="T659" s="13">
        <f>LISTA[[#This Row],[TARIFA OUT ]]+LISTA[[#This Row],[TARIFA IN]]+LISTA[[#This Row],[VALOR FINAL]]</f>
        <v>0</v>
      </c>
    </row>
    <row r="660" spans="1:20" x14ac:dyDescent="0.2">
      <c r="A660" s="13"/>
      <c r="B660" s="14"/>
      <c r="C660" s="14"/>
      <c r="D660" s="14"/>
      <c r="E660" s="14"/>
      <c r="F660" s="14"/>
      <c r="G660" s="14"/>
      <c r="H660" s="14"/>
      <c r="I660" s="14"/>
      <c r="J660" s="14"/>
      <c r="K660" s="13"/>
      <c r="L660" s="13"/>
      <c r="M660" s="13"/>
      <c r="N660" s="13"/>
      <c r="O660" s="76"/>
      <c r="P660" s="81"/>
      <c r="Q660" s="123"/>
      <c r="R660" s="123"/>
      <c r="S660" s="123"/>
      <c r="T660" s="13">
        <f>LISTA[[#This Row],[TARIFA OUT ]]+LISTA[[#This Row],[TARIFA IN]]+LISTA[[#This Row],[VALOR FINAL]]</f>
        <v>0</v>
      </c>
    </row>
    <row r="661" spans="1:20" x14ac:dyDescent="0.2">
      <c r="A661" s="13"/>
      <c r="B661" s="14"/>
      <c r="C661" s="14"/>
      <c r="D661" s="14"/>
      <c r="E661" s="14"/>
      <c r="F661" s="14"/>
      <c r="G661" s="14"/>
      <c r="H661" s="14"/>
      <c r="I661" s="14"/>
      <c r="J661" s="14"/>
      <c r="K661" s="13"/>
      <c r="L661" s="13"/>
      <c r="M661" s="13"/>
      <c r="N661" s="13"/>
      <c r="O661" s="76"/>
      <c r="P661" s="81"/>
      <c r="Q661" s="123"/>
      <c r="R661" s="123"/>
      <c r="S661" s="123"/>
      <c r="T661" s="13">
        <f>LISTA[[#This Row],[TARIFA OUT ]]+LISTA[[#This Row],[TARIFA IN]]+LISTA[[#This Row],[VALOR FINAL]]</f>
        <v>0</v>
      </c>
    </row>
    <row r="662" spans="1:20" x14ac:dyDescent="0.2">
      <c r="A662" s="13"/>
      <c r="B662" s="14"/>
      <c r="C662" s="14"/>
      <c r="D662" s="14"/>
      <c r="E662" s="14"/>
      <c r="F662" s="14"/>
      <c r="G662" s="14"/>
      <c r="H662" s="14"/>
      <c r="I662" s="14"/>
      <c r="J662" s="14"/>
      <c r="K662" s="13"/>
      <c r="L662" s="13"/>
      <c r="M662" s="13"/>
      <c r="N662" s="13"/>
      <c r="O662" s="76"/>
      <c r="P662" s="81"/>
      <c r="Q662" s="123"/>
      <c r="R662" s="123"/>
      <c r="S662" s="123"/>
      <c r="T662" s="13">
        <f>LISTA[[#This Row],[TARIFA OUT ]]+LISTA[[#This Row],[TARIFA IN]]+LISTA[[#This Row],[VALOR FINAL]]</f>
        <v>0</v>
      </c>
    </row>
    <row r="663" spans="1:20" x14ac:dyDescent="0.2">
      <c r="A663" s="13"/>
      <c r="B663" s="14"/>
      <c r="C663" s="14"/>
      <c r="D663" s="14"/>
      <c r="E663" s="14"/>
      <c r="F663" s="14"/>
      <c r="G663" s="14"/>
      <c r="H663" s="14"/>
      <c r="I663" s="14"/>
      <c r="J663" s="14"/>
      <c r="K663" s="13"/>
      <c r="L663" s="13"/>
      <c r="M663" s="13"/>
      <c r="N663" s="13"/>
      <c r="O663" s="76"/>
      <c r="P663" s="81"/>
      <c r="Q663" s="123"/>
      <c r="R663" s="123"/>
      <c r="S663" s="123"/>
      <c r="T663" s="13">
        <f>LISTA[[#This Row],[TARIFA OUT ]]+LISTA[[#This Row],[TARIFA IN]]+LISTA[[#This Row],[VALOR FINAL]]</f>
        <v>0</v>
      </c>
    </row>
    <row r="664" spans="1:20" x14ac:dyDescent="0.2">
      <c r="A664" s="13"/>
      <c r="B664" s="14"/>
      <c r="C664" s="14"/>
      <c r="D664" s="14"/>
      <c r="E664" s="14"/>
      <c r="F664" s="14"/>
      <c r="G664" s="14"/>
      <c r="H664" s="14"/>
      <c r="I664" s="14"/>
      <c r="J664" s="14"/>
      <c r="K664" s="13"/>
      <c r="L664" s="13"/>
      <c r="M664" s="13"/>
      <c r="N664" s="13"/>
      <c r="O664" s="76"/>
      <c r="P664" s="81"/>
      <c r="Q664" s="123"/>
      <c r="R664" s="123"/>
      <c r="S664" s="123"/>
      <c r="T664" s="13">
        <f>LISTA[[#This Row],[TARIFA OUT ]]+LISTA[[#This Row],[TARIFA IN]]+LISTA[[#This Row],[VALOR FINAL]]</f>
        <v>0</v>
      </c>
    </row>
    <row r="665" spans="1:20" x14ac:dyDescent="0.2">
      <c r="A665" s="13"/>
      <c r="B665" s="14"/>
      <c r="C665" s="14"/>
      <c r="D665" s="14"/>
      <c r="E665" s="14"/>
      <c r="F665" s="14"/>
      <c r="G665" s="14"/>
      <c r="H665" s="14"/>
      <c r="I665" s="14"/>
      <c r="J665" s="14"/>
      <c r="K665" s="13"/>
      <c r="L665" s="13"/>
      <c r="M665" s="13"/>
      <c r="N665" s="13"/>
      <c r="O665" s="76"/>
      <c r="P665" s="81"/>
      <c r="Q665" s="123"/>
      <c r="R665" s="123"/>
      <c r="S665" s="123"/>
      <c r="T665" s="13">
        <f>LISTA[[#This Row],[TARIFA OUT ]]+LISTA[[#This Row],[TARIFA IN]]+LISTA[[#This Row],[VALOR FINAL]]</f>
        <v>0</v>
      </c>
    </row>
    <row r="666" spans="1:20" x14ac:dyDescent="0.2">
      <c r="A666" s="13"/>
      <c r="B666" s="14"/>
      <c r="C666" s="14"/>
      <c r="D666" s="14"/>
      <c r="E666" s="14"/>
      <c r="F666" s="14"/>
      <c r="G666" s="14"/>
      <c r="H666" s="14"/>
      <c r="I666" s="14"/>
      <c r="J666" s="14"/>
      <c r="K666" s="13"/>
      <c r="L666" s="13"/>
      <c r="M666" s="13"/>
      <c r="N666" s="13"/>
      <c r="O666" s="76"/>
      <c r="P666" s="81"/>
      <c r="Q666" s="123"/>
      <c r="R666" s="123"/>
      <c r="S666" s="123"/>
      <c r="T666" s="13">
        <f>LISTA[[#This Row],[TARIFA OUT ]]+LISTA[[#This Row],[TARIFA IN]]+LISTA[[#This Row],[VALOR FINAL]]</f>
        <v>0</v>
      </c>
    </row>
    <row r="667" spans="1:20" x14ac:dyDescent="0.2">
      <c r="A667" s="13"/>
      <c r="B667" s="14"/>
      <c r="C667" s="14"/>
      <c r="D667" s="14"/>
      <c r="E667" s="14"/>
      <c r="F667" s="14"/>
      <c r="G667" s="14"/>
      <c r="H667" s="14"/>
      <c r="I667" s="14"/>
      <c r="J667" s="14"/>
      <c r="K667" s="13"/>
      <c r="L667" s="13"/>
      <c r="M667" s="13"/>
      <c r="N667" s="13"/>
      <c r="O667" s="76"/>
      <c r="P667" s="81"/>
      <c r="Q667" s="123"/>
      <c r="R667" s="123"/>
      <c r="S667" s="123"/>
      <c r="T667" s="13">
        <f>LISTA[[#This Row],[TARIFA OUT ]]+LISTA[[#This Row],[TARIFA IN]]+LISTA[[#This Row],[VALOR FINAL]]</f>
        <v>0</v>
      </c>
    </row>
    <row r="668" spans="1:20" x14ac:dyDescent="0.2">
      <c r="A668" s="13"/>
      <c r="B668" s="14"/>
      <c r="C668" s="14"/>
      <c r="D668" s="14"/>
      <c r="E668" s="14"/>
      <c r="F668" s="14"/>
      <c r="G668" s="14"/>
      <c r="H668" s="14"/>
      <c r="I668" s="14"/>
      <c r="J668" s="14"/>
      <c r="K668" s="13"/>
      <c r="L668" s="13"/>
      <c r="M668" s="13"/>
      <c r="N668" s="13"/>
      <c r="O668" s="76"/>
      <c r="P668" s="81"/>
      <c r="Q668" s="123"/>
      <c r="R668" s="123"/>
      <c r="S668" s="123"/>
      <c r="T668" s="13">
        <f>LISTA[[#This Row],[TARIFA OUT ]]+LISTA[[#This Row],[TARIFA IN]]+LISTA[[#This Row],[VALOR FINAL]]</f>
        <v>0</v>
      </c>
    </row>
    <row r="669" spans="1:20" x14ac:dyDescent="0.2">
      <c r="A669" s="13"/>
      <c r="B669" s="14"/>
      <c r="C669" s="14"/>
      <c r="D669" s="14"/>
      <c r="E669" s="14"/>
      <c r="F669" s="14"/>
      <c r="G669" s="14"/>
      <c r="H669" s="14"/>
      <c r="I669" s="14"/>
      <c r="J669" s="14"/>
      <c r="K669" s="13"/>
      <c r="L669" s="13"/>
      <c r="M669" s="13"/>
      <c r="N669" s="13"/>
      <c r="O669" s="76"/>
      <c r="P669" s="81"/>
      <c r="Q669" s="123"/>
      <c r="R669" s="123"/>
      <c r="S669" s="123"/>
      <c r="T669" s="13">
        <f>LISTA[[#This Row],[TARIFA OUT ]]+LISTA[[#This Row],[TARIFA IN]]+LISTA[[#This Row],[VALOR FINAL]]</f>
        <v>0</v>
      </c>
    </row>
    <row r="670" spans="1:20" x14ac:dyDescent="0.2">
      <c r="A670" s="13"/>
      <c r="B670" s="14"/>
      <c r="C670" s="14"/>
      <c r="D670" s="14"/>
      <c r="E670" s="14"/>
      <c r="F670" s="14"/>
      <c r="G670" s="14"/>
      <c r="H670" s="14"/>
      <c r="I670" s="14"/>
      <c r="J670" s="14"/>
      <c r="K670" s="13"/>
      <c r="L670" s="13"/>
      <c r="M670" s="13"/>
      <c r="N670" s="13"/>
      <c r="O670" s="76"/>
      <c r="P670" s="81"/>
      <c r="Q670" s="123"/>
      <c r="R670" s="123"/>
      <c r="S670" s="123"/>
      <c r="T670" s="13">
        <f>LISTA[[#This Row],[TARIFA OUT ]]+LISTA[[#This Row],[TARIFA IN]]+LISTA[[#This Row],[VALOR FINAL]]</f>
        <v>0</v>
      </c>
    </row>
    <row r="671" spans="1:20" x14ac:dyDescent="0.2">
      <c r="A671" s="13"/>
      <c r="B671" s="14"/>
      <c r="C671" s="14"/>
      <c r="D671" s="14"/>
      <c r="E671" s="14"/>
      <c r="F671" s="14"/>
      <c r="G671" s="14"/>
      <c r="H671" s="14"/>
      <c r="I671" s="14"/>
      <c r="J671" s="14"/>
      <c r="K671" s="13"/>
      <c r="L671" s="13"/>
      <c r="M671" s="13"/>
      <c r="N671" s="13"/>
      <c r="O671" s="76"/>
      <c r="P671" s="81"/>
      <c r="Q671" s="123"/>
      <c r="R671" s="123"/>
      <c r="S671" s="123"/>
      <c r="T671" s="13">
        <f>LISTA[[#This Row],[TARIFA OUT ]]+LISTA[[#This Row],[TARIFA IN]]+LISTA[[#This Row],[VALOR FINAL]]</f>
        <v>0</v>
      </c>
    </row>
    <row r="672" spans="1:20" x14ac:dyDescent="0.2">
      <c r="A672" s="13"/>
      <c r="B672" s="14"/>
      <c r="C672" s="14"/>
      <c r="D672" s="14"/>
      <c r="E672" s="14"/>
      <c r="F672" s="14"/>
      <c r="G672" s="14"/>
      <c r="H672" s="14"/>
      <c r="I672" s="14"/>
      <c r="J672" s="14"/>
      <c r="K672" s="13"/>
      <c r="L672" s="13"/>
      <c r="M672" s="13"/>
      <c r="N672" s="13"/>
      <c r="O672" s="76"/>
      <c r="P672" s="81"/>
      <c r="Q672" s="123"/>
      <c r="R672" s="123"/>
      <c r="S672" s="123"/>
      <c r="T672" s="13">
        <f>LISTA[[#This Row],[TARIFA OUT ]]+LISTA[[#This Row],[TARIFA IN]]+LISTA[[#This Row],[VALOR FINAL]]</f>
        <v>0</v>
      </c>
    </row>
    <row r="673" spans="1:20" x14ac:dyDescent="0.2">
      <c r="A673" s="13"/>
      <c r="B673" s="14"/>
      <c r="C673" s="14"/>
      <c r="D673" s="14"/>
      <c r="E673" s="14"/>
      <c r="F673" s="14"/>
      <c r="G673" s="14"/>
      <c r="H673" s="14"/>
      <c r="I673" s="14"/>
      <c r="J673" s="14"/>
      <c r="K673" s="13"/>
      <c r="L673" s="13"/>
      <c r="M673" s="13"/>
      <c r="N673" s="13"/>
      <c r="O673" s="76"/>
      <c r="P673" s="81"/>
      <c r="Q673" s="123"/>
      <c r="R673" s="123"/>
      <c r="S673" s="123"/>
      <c r="T673" s="13">
        <f>LISTA[[#This Row],[TARIFA OUT ]]+LISTA[[#This Row],[TARIFA IN]]+LISTA[[#This Row],[VALOR FINAL]]</f>
        <v>0</v>
      </c>
    </row>
    <row r="674" spans="1:20" x14ac:dyDescent="0.2">
      <c r="A674" s="13"/>
      <c r="B674" s="14"/>
      <c r="C674" s="14"/>
      <c r="D674" s="14"/>
      <c r="E674" s="14"/>
      <c r="F674" s="14"/>
      <c r="G674" s="14"/>
      <c r="H674" s="14"/>
      <c r="I674" s="14"/>
      <c r="J674" s="14"/>
      <c r="K674" s="13"/>
      <c r="L674" s="13"/>
      <c r="M674" s="13"/>
      <c r="N674" s="13"/>
      <c r="O674" s="76"/>
      <c r="P674" s="81"/>
      <c r="Q674" s="123"/>
      <c r="R674" s="123"/>
      <c r="S674" s="123"/>
      <c r="T674" s="13">
        <f>LISTA[[#This Row],[TARIFA OUT ]]+LISTA[[#This Row],[TARIFA IN]]+LISTA[[#This Row],[VALOR FINAL]]</f>
        <v>0</v>
      </c>
    </row>
    <row r="675" spans="1:20" x14ac:dyDescent="0.2">
      <c r="A675" s="13"/>
      <c r="B675" s="14"/>
      <c r="C675" s="14"/>
      <c r="D675" s="14"/>
      <c r="E675" s="14"/>
      <c r="F675" s="14"/>
      <c r="G675" s="14"/>
      <c r="H675" s="14"/>
      <c r="I675" s="14"/>
      <c r="J675" s="14"/>
      <c r="K675" s="13"/>
      <c r="L675" s="13"/>
      <c r="M675" s="13"/>
      <c r="N675" s="13"/>
      <c r="O675" s="76"/>
      <c r="P675" s="81"/>
      <c r="Q675" s="123"/>
      <c r="R675" s="123"/>
      <c r="S675" s="123"/>
      <c r="T675" s="13">
        <f>LISTA[[#This Row],[TARIFA OUT ]]+LISTA[[#This Row],[TARIFA IN]]+LISTA[[#This Row],[VALOR FINAL]]</f>
        <v>0</v>
      </c>
    </row>
    <row r="676" spans="1:20" x14ac:dyDescent="0.2">
      <c r="A676" s="13"/>
      <c r="B676" s="14"/>
      <c r="C676" s="14"/>
      <c r="D676" s="14"/>
      <c r="E676" s="14"/>
      <c r="F676" s="14"/>
      <c r="G676" s="14"/>
      <c r="H676" s="14"/>
      <c r="I676" s="14"/>
      <c r="J676" s="14"/>
      <c r="K676" s="13"/>
      <c r="L676" s="13"/>
      <c r="M676" s="13"/>
      <c r="N676" s="13"/>
      <c r="O676" s="76"/>
      <c r="P676" s="81"/>
      <c r="Q676" s="123"/>
      <c r="R676" s="123"/>
      <c r="S676" s="123"/>
      <c r="T676" s="13">
        <f>LISTA[[#This Row],[TARIFA OUT ]]+LISTA[[#This Row],[TARIFA IN]]+LISTA[[#This Row],[VALOR FINAL]]</f>
        <v>0</v>
      </c>
    </row>
    <row r="677" spans="1:20" x14ac:dyDescent="0.2">
      <c r="A677" s="13"/>
      <c r="B677" s="14"/>
      <c r="C677" s="14"/>
      <c r="D677" s="14"/>
      <c r="E677" s="14"/>
      <c r="F677" s="14"/>
      <c r="G677" s="14"/>
      <c r="H677" s="14"/>
      <c r="I677" s="14"/>
      <c r="J677" s="14"/>
      <c r="K677" s="13"/>
      <c r="L677" s="13"/>
      <c r="M677" s="13"/>
      <c r="N677" s="13"/>
      <c r="O677" s="76"/>
      <c r="P677" s="81"/>
      <c r="Q677" s="123"/>
      <c r="R677" s="123"/>
      <c r="S677" s="123"/>
      <c r="T677" s="13">
        <f>LISTA[[#This Row],[TARIFA OUT ]]+LISTA[[#This Row],[TARIFA IN]]+LISTA[[#This Row],[VALOR FINAL]]</f>
        <v>0</v>
      </c>
    </row>
    <row r="678" spans="1:20" x14ac:dyDescent="0.2">
      <c r="A678" s="13"/>
      <c r="B678" s="14"/>
      <c r="C678" s="14"/>
      <c r="D678" s="14"/>
      <c r="E678" s="14"/>
      <c r="F678" s="14"/>
      <c r="G678" s="14"/>
      <c r="H678" s="14"/>
      <c r="I678" s="14"/>
      <c r="J678" s="14"/>
      <c r="K678" s="13"/>
      <c r="L678" s="13"/>
      <c r="M678" s="13"/>
      <c r="N678" s="13"/>
      <c r="O678" s="76"/>
      <c r="P678" s="81"/>
      <c r="Q678" s="123"/>
      <c r="R678" s="123"/>
      <c r="S678" s="123"/>
      <c r="T678" s="13">
        <f>LISTA[[#This Row],[TARIFA OUT ]]+LISTA[[#This Row],[TARIFA IN]]+LISTA[[#This Row],[VALOR FINAL]]</f>
        <v>0</v>
      </c>
    </row>
    <row r="679" spans="1:20" x14ac:dyDescent="0.2">
      <c r="A679" s="13"/>
      <c r="B679" s="14"/>
      <c r="C679" s="14"/>
      <c r="D679" s="14"/>
      <c r="E679" s="14"/>
      <c r="F679" s="14"/>
      <c r="G679" s="14"/>
      <c r="H679" s="14"/>
      <c r="I679" s="14"/>
      <c r="J679" s="14"/>
      <c r="K679" s="13"/>
      <c r="L679" s="13"/>
      <c r="M679" s="13"/>
      <c r="N679" s="13"/>
      <c r="O679" s="76"/>
      <c r="P679" s="81"/>
      <c r="Q679" s="123"/>
      <c r="R679" s="123"/>
      <c r="S679" s="123"/>
      <c r="T679" s="13">
        <f>LISTA[[#This Row],[TARIFA OUT ]]+LISTA[[#This Row],[TARIFA IN]]+LISTA[[#This Row],[VALOR FINAL]]</f>
        <v>0</v>
      </c>
    </row>
    <row r="680" spans="1:20" x14ac:dyDescent="0.2">
      <c r="A680" s="13"/>
      <c r="B680" s="14"/>
      <c r="C680" s="14"/>
      <c r="D680" s="14"/>
      <c r="E680" s="14"/>
      <c r="F680" s="14"/>
      <c r="G680" s="14"/>
      <c r="H680" s="14"/>
      <c r="I680" s="14"/>
      <c r="J680" s="14"/>
      <c r="K680" s="13"/>
      <c r="L680" s="13"/>
      <c r="M680" s="13"/>
      <c r="N680" s="13"/>
      <c r="O680" s="76"/>
      <c r="P680" s="81"/>
      <c r="Q680" s="123"/>
      <c r="R680" s="123"/>
      <c r="S680" s="123"/>
      <c r="T680" s="13">
        <f>LISTA[[#This Row],[TARIFA OUT ]]+LISTA[[#This Row],[TARIFA IN]]+LISTA[[#This Row],[VALOR FINAL]]</f>
        <v>0</v>
      </c>
    </row>
    <row r="681" spans="1:20" x14ac:dyDescent="0.2">
      <c r="A681" s="13"/>
      <c r="B681" s="14"/>
      <c r="C681" s="14"/>
      <c r="D681" s="14"/>
      <c r="E681" s="14"/>
      <c r="F681" s="14"/>
      <c r="G681" s="14"/>
      <c r="H681" s="14"/>
      <c r="I681" s="14"/>
      <c r="J681" s="14"/>
      <c r="K681" s="13"/>
      <c r="L681" s="13"/>
      <c r="M681" s="13"/>
      <c r="N681" s="13"/>
      <c r="O681" s="76"/>
      <c r="P681" s="81"/>
      <c r="Q681" s="123"/>
      <c r="R681" s="123"/>
      <c r="S681" s="123"/>
      <c r="T681" s="13">
        <f>LISTA[[#This Row],[TARIFA OUT ]]+LISTA[[#This Row],[TARIFA IN]]+LISTA[[#This Row],[VALOR FINAL]]</f>
        <v>0</v>
      </c>
    </row>
    <row r="682" spans="1:20" x14ac:dyDescent="0.2">
      <c r="A682" s="13"/>
      <c r="B682" s="14"/>
      <c r="C682" s="14"/>
      <c r="D682" s="14"/>
      <c r="E682" s="14"/>
      <c r="F682" s="14"/>
      <c r="G682" s="14"/>
      <c r="H682" s="14"/>
      <c r="I682" s="14"/>
      <c r="J682" s="14"/>
      <c r="K682" s="13"/>
      <c r="L682" s="13"/>
      <c r="M682" s="13"/>
      <c r="N682" s="13"/>
      <c r="O682" s="76"/>
      <c r="P682" s="81"/>
      <c r="Q682" s="123"/>
      <c r="R682" s="123"/>
      <c r="S682" s="123"/>
      <c r="T682" s="13">
        <f>LISTA[[#This Row],[TARIFA OUT ]]+LISTA[[#This Row],[TARIFA IN]]+LISTA[[#This Row],[VALOR FINAL]]</f>
        <v>0</v>
      </c>
    </row>
    <row r="683" spans="1:20" x14ac:dyDescent="0.2">
      <c r="A683" s="13"/>
      <c r="B683" s="14"/>
      <c r="C683" s="14"/>
      <c r="D683" s="14"/>
      <c r="E683" s="14"/>
      <c r="F683" s="14"/>
      <c r="G683" s="14"/>
      <c r="H683" s="14"/>
      <c r="I683" s="14"/>
      <c r="J683" s="14"/>
      <c r="K683" s="13"/>
      <c r="L683" s="13"/>
      <c r="M683" s="13"/>
      <c r="N683" s="13"/>
      <c r="O683" s="76"/>
      <c r="P683" s="81"/>
      <c r="Q683" s="123"/>
      <c r="R683" s="123"/>
      <c r="S683" s="123"/>
      <c r="T683" s="13">
        <f>LISTA[[#This Row],[TARIFA OUT ]]+LISTA[[#This Row],[TARIFA IN]]+LISTA[[#This Row],[VALOR FINAL]]</f>
        <v>0</v>
      </c>
    </row>
    <row r="684" spans="1:20" x14ac:dyDescent="0.2">
      <c r="A684" s="13"/>
      <c r="B684" s="14"/>
      <c r="C684" s="14"/>
      <c r="D684" s="14"/>
      <c r="E684" s="14"/>
      <c r="F684" s="14"/>
      <c r="G684" s="14"/>
      <c r="H684" s="14"/>
      <c r="I684" s="14"/>
      <c r="J684" s="14"/>
      <c r="K684" s="13"/>
      <c r="L684" s="13"/>
      <c r="M684" s="13"/>
      <c r="N684" s="13"/>
      <c r="O684" s="76"/>
      <c r="P684" s="81"/>
      <c r="Q684" s="123"/>
      <c r="R684" s="123"/>
      <c r="S684" s="123"/>
      <c r="T684" s="13">
        <f>LISTA[[#This Row],[TARIFA OUT ]]+LISTA[[#This Row],[TARIFA IN]]+LISTA[[#This Row],[VALOR FINAL]]</f>
        <v>0</v>
      </c>
    </row>
    <row r="685" spans="1:20" x14ac:dyDescent="0.2">
      <c r="A685" s="13"/>
      <c r="B685" s="14"/>
      <c r="C685" s="14"/>
      <c r="D685" s="14"/>
      <c r="E685" s="14"/>
      <c r="F685" s="14"/>
      <c r="G685" s="14"/>
      <c r="H685" s="14"/>
      <c r="I685" s="14"/>
      <c r="J685" s="14"/>
      <c r="K685" s="13"/>
      <c r="L685" s="13"/>
      <c r="M685" s="13"/>
      <c r="N685" s="13"/>
      <c r="O685" s="76"/>
      <c r="P685" s="81"/>
      <c r="Q685" s="123"/>
      <c r="R685" s="123"/>
      <c r="S685" s="123"/>
      <c r="T685" s="13">
        <f>LISTA[[#This Row],[TARIFA OUT ]]+LISTA[[#This Row],[TARIFA IN]]+LISTA[[#This Row],[VALOR FINAL]]</f>
        <v>0</v>
      </c>
    </row>
    <row r="686" spans="1:20" x14ac:dyDescent="0.2">
      <c r="A686" s="13"/>
      <c r="B686" s="14"/>
      <c r="C686" s="14"/>
      <c r="D686" s="14"/>
      <c r="E686" s="14"/>
      <c r="F686" s="14"/>
      <c r="G686" s="14"/>
      <c r="H686" s="14"/>
      <c r="I686" s="14"/>
      <c r="J686" s="14"/>
      <c r="K686" s="13"/>
      <c r="L686" s="13"/>
      <c r="M686" s="13"/>
      <c r="N686" s="13"/>
      <c r="O686" s="76"/>
      <c r="P686" s="81"/>
      <c r="Q686" s="123"/>
      <c r="R686" s="123"/>
      <c r="S686" s="123"/>
      <c r="T686" s="13">
        <f>LISTA[[#This Row],[TARIFA OUT ]]+LISTA[[#This Row],[TARIFA IN]]+LISTA[[#This Row],[VALOR FINAL]]</f>
        <v>0</v>
      </c>
    </row>
    <row r="687" spans="1:20" x14ac:dyDescent="0.2">
      <c r="A687" s="13"/>
      <c r="B687" s="14"/>
      <c r="C687" s="14"/>
      <c r="D687" s="14"/>
      <c r="E687" s="14"/>
      <c r="F687" s="14"/>
      <c r="G687" s="14"/>
      <c r="H687" s="14"/>
      <c r="I687" s="14"/>
      <c r="J687" s="14"/>
      <c r="K687" s="13"/>
      <c r="L687" s="13"/>
      <c r="M687" s="13"/>
      <c r="N687" s="13"/>
      <c r="O687" s="76"/>
      <c r="P687" s="81"/>
      <c r="Q687" s="123"/>
      <c r="R687" s="123"/>
      <c r="S687" s="123"/>
      <c r="T687" s="13">
        <f>LISTA[[#This Row],[TARIFA OUT ]]+LISTA[[#This Row],[TARIFA IN]]+LISTA[[#This Row],[VALOR FINAL]]</f>
        <v>0</v>
      </c>
    </row>
    <row r="688" spans="1:20" x14ac:dyDescent="0.2">
      <c r="A688" s="13"/>
      <c r="B688" s="14"/>
      <c r="C688" s="14"/>
      <c r="D688" s="14"/>
      <c r="E688" s="14"/>
      <c r="F688" s="14"/>
      <c r="G688" s="14"/>
      <c r="H688" s="14"/>
      <c r="I688" s="14"/>
      <c r="J688" s="14"/>
      <c r="K688" s="13"/>
      <c r="L688" s="13"/>
      <c r="M688" s="13"/>
      <c r="N688" s="13"/>
      <c r="O688" s="76"/>
      <c r="P688" s="81"/>
      <c r="Q688" s="123"/>
      <c r="R688" s="123"/>
      <c r="S688" s="123"/>
      <c r="T688" s="13">
        <f>LISTA[[#This Row],[TARIFA OUT ]]+LISTA[[#This Row],[TARIFA IN]]+LISTA[[#This Row],[VALOR FINAL]]</f>
        <v>0</v>
      </c>
    </row>
    <row r="689" spans="1:20" x14ac:dyDescent="0.2">
      <c r="A689" s="13"/>
      <c r="B689" s="14"/>
      <c r="C689" s="14"/>
      <c r="D689" s="14"/>
      <c r="E689" s="14"/>
      <c r="F689" s="14"/>
      <c r="G689" s="14"/>
      <c r="H689" s="14"/>
      <c r="I689" s="14"/>
      <c r="J689" s="14"/>
      <c r="K689" s="13"/>
      <c r="L689" s="13"/>
      <c r="M689" s="13"/>
      <c r="N689" s="13"/>
      <c r="O689" s="76"/>
      <c r="P689" s="81"/>
      <c r="Q689" s="123"/>
      <c r="R689" s="123"/>
      <c r="S689" s="123"/>
      <c r="T689" s="13">
        <f>LISTA[[#This Row],[TARIFA OUT ]]+LISTA[[#This Row],[TARIFA IN]]+LISTA[[#This Row],[VALOR FINAL]]</f>
        <v>0</v>
      </c>
    </row>
    <row r="690" spans="1:20" x14ac:dyDescent="0.2">
      <c r="A690" s="13"/>
      <c r="B690" s="14"/>
      <c r="C690" s="14"/>
      <c r="D690" s="14"/>
      <c r="E690" s="14"/>
      <c r="F690" s="14"/>
      <c r="G690" s="14"/>
      <c r="H690" s="14"/>
      <c r="I690" s="14"/>
      <c r="J690" s="14"/>
      <c r="K690" s="13"/>
      <c r="L690" s="13"/>
      <c r="M690" s="13"/>
      <c r="N690" s="13"/>
      <c r="O690" s="76"/>
      <c r="P690" s="81"/>
      <c r="Q690" s="123"/>
      <c r="R690" s="123"/>
      <c r="S690" s="123"/>
      <c r="T690" s="13">
        <f>LISTA[[#This Row],[TARIFA OUT ]]+LISTA[[#This Row],[TARIFA IN]]+LISTA[[#This Row],[VALOR FINAL]]</f>
        <v>0</v>
      </c>
    </row>
    <row r="691" spans="1:20" x14ac:dyDescent="0.2">
      <c r="A691" s="13"/>
      <c r="B691" s="14"/>
      <c r="C691" s="14"/>
      <c r="D691" s="14"/>
      <c r="E691" s="14"/>
      <c r="F691" s="14"/>
      <c r="G691" s="14"/>
      <c r="H691" s="14"/>
      <c r="I691" s="14"/>
      <c r="J691" s="14"/>
      <c r="K691" s="13"/>
      <c r="L691" s="13"/>
      <c r="M691" s="13"/>
      <c r="N691" s="13"/>
      <c r="O691" s="76"/>
      <c r="P691" s="81"/>
      <c r="Q691" s="123"/>
      <c r="R691" s="123"/>
      <c r="S691" s="123"/>
      <c r="T691" s="13">
        <f>LISTA[[#This Row],[TARIFA OUT ]]+LISTA[[#This Row],[TARIFA IN]]+LISTA[[#This Row],[VALOR FINAL]]</f>
        <v>0</v>
      </c>
    </row>
    <row r="692" spans="1:20" x14ac:dyDescent="0.2">
      <c r="A692" s="13"/>
      <c r="B692" s="14"/>
      <c r="C692" s="14"/>
      <c r="D692" s="14"/>
      <c r="E692" s="14"/>
      <c r="F692" s="14"/>
      <c r="G692" s="14"/>
      <c r="H692" s="14"/>
      <c r="I692" s="14"/>
      <c r="J692" s="14"/>
      <c r="K692" s="13"/>
      <c r="L692" s="13"/>
      <c r="M692" s="13"/>
      <c r="N692" s="13"/>
      <c r="O692" s="76"/>
      <c r="P692" s="81"/>
      <c r="Q692" s="123"/>
      <c r="R692" s="123"/>
      <c r="S692" s="123"/>
      <c r="T692" s="13">
        <f>LISTA[[#This Row],[TARIFA OUT ]]+LISTA[[#This Row],[TARIFA IN]]+LISTA[[#This Row],[VALOR FINAL]]</f>
        <v>0</v>
      </c>
    </row>
    <row r="693" spans="1:20" x14ac:dyDescent="0.2">
      <c r="A693" s="13"/>
      <c r="B693" s="14"/>
      <c r="C693" s="14"/>
      <c r="D693" s="14"/>
      <c r="E693" s="14"/>
      <c r="F693" s="14"/>
      <c r="G693" s="14"/>
      <c r="H693" s="14"/>
      <c r="I693" s="14"/>
      <c r="J693" s="14"/>
      <c r="K693" s="13"/>
      <c r="L693" s="13"/>
      <c r="M693" s="13"/>
      <c r="N693" s="13"/>
      <c r="O693" s="76"/>
      <c r="P693" s="81"/>
      <c r="Q693" s="123"/>
      <c r="R693" s="123"/>
      <c r="S693" s="123"/>
      <c r="T693" s="13">
        <f>LISTA[[#This Row],[TARIFA OUT ]]+LISTA[[#This Row],[TARIFA IN]]+LISTA[[#This Row],[VALOR FINAL]]</f>
        <v>0</v>
      </c>
    </row>
    <row r="694" spans="1:20" x14ac:dyDescent="0.2">
      <c r="A694" s="13"/>
      <c r="B694" s="14"/>
      <c r="C694" s="14"/>
      <c r="D694" s="14"/>
      <c r="E694" s="14"/>
      <c r="F694" s="14"/>
      <c r="G694" s="14"/>
      <c r="H694" s="14"/>
      <c r="I694" s="14"/>
      <c r="J694" s="14"/>
      <c r="K694" s="13"/>
      <c r="L694" s="13"/>
      <c r="M694" s="13"/>
      <c r="N694" s="13"/>
      <c r="O694" s="76"/>
      <c r="P694" s="81"/>
      <c r="Q694" s="123"/>
      <c r="R694" s="123"/>
      <c r="S694" s="123"/>
      <c r="T694" s="13">
        <f>LISTA[[#This Row],[TARIFA OUT ]]+LISTA[[#This Row],[TARIFA IN]]+LISTA[[#This Row],[VALOR FINAL]]</f>
        <v>0</v>
      </c>
    </row>
    <row r="695" spans="1:20" x14ac:dyDescent="0.2">
      <c r="A695" s="13"/>
      <c r="B695" s="14"/>
      <c r="C695" s="14"/>
      <c r="D695" s="14"/>
      <c r="E695" s="14"/>
      <c r="F695" s="14"/>
      <c r="G695" s="14"/>
      <c r="H695" s="14"/>
      <c r="I695" s="14"/>
      <c r="J695" s="14"/>
      <c r="K695" s="13"/>
      <c r="L695" s="13"/>
      <c r="M695" s="13"/>
      <c r="N695" s="13"/>
      <c r="O695" s="76"/>
      <c r="P695" s="81"/>
      <c r="Q695" s="123"/>
      <c r="R695" s="123"/>
      <c r="S695" s="123"/>
      <c r="T695" s="13">
        <f>LISTA[[#This Row],[TARIFA OUT ]]+LISTA[[#This Row],[TARIFA IN]]+LISTA[[#This Row],[VALOR FINAL]]</f>
        <v>0</v>
      </c>
    </row>
    <row r="696" spans="1:20" x14ac:dyDescent="0.2">
      <c r="A696" s="13"/>
      <c r="B696" s="14"/>
      <c r="C696" s="14"/>
      <c r="D696" s="14"/>
      <c r="E696" s="14"/>
      <c r="F696" s="14"/>
      <c r="G696" s="14"/>
      <c r="H696" s="14"/>
      <c r="I696" s="14"/>
      <c r="J696" s="14"/>
      <c r="K696" s="13"/>
      <c r="L696" s="13"/>
      <c r="M696" s="13"/>
      <c r="N696" s="13"/>
      <c r="O696" s="76"/>
      <c r="P696" s="81"/>
      <c r="Q696" s="123"/>
      <c r="R696" s="123"/>
      <c r="S696" s="123"/>
      <c r="T696" s="13">
        <f>LISTA[[#This Row],[TARIFA OUT ]]+LISTA[[#This Row],[TARIFA IN]]+LISTA[[#This Row],[VALOR FINAL]]</f>
        <v>0</v>
      </c>
    </row>
    <row r="697" spans="1:20" x14ac:dyDescent="0.2">
      <c r="A697" s="13"/>
      <c r="B697" s="14"/>
      <c r="C697" s="14"/>
      <c r="D697" s="14"/>
      <c r="E697" s="14"/>
      <c r="F697" s="14"/>
      <c r="G697" s="14"/>
      <c r="H697" s="14"/>
      <c r="I697" s="14"/>
      <c r="J697" s="14"/>
      <c r="K697" s="13"/>
      <c r="L697" s="13"/>
      <c r="M697" s="13"/>
      <c r="N697" s="13"/>
      <c r="O697" s="76"/>
      <c r="P697" s="81"/>
      <c r="Q697" s="123"/>
      <c r="R697" s="123"/>
      <c r="S697" s="123"/>
      <c r="T697" s="13">
        <f>LISTA[[#This Row],[TARIFA OUT ]]+LISTA[[#This Row],[TARIFA IN]]+LISTA[[#This Row],[VALOR FINAL]]</f>
        <v>0</v>
      </c>
    </row>
    <row r="698" spans="1:20" x14ac:dyDescent="0.2">
      <c r="A698" s="13"/>
      <c r="B698" s="14"/>
      <c r="C698" s="14"/>
      <c r="D698" s="14"/>
      <c r="E698" s="14"/>
      <c r="F698" s="14"/>
      <c r="G698" s="14"/>
      <c r="H698" s="14"/>
      <c r="I698" s="14"/>
      <c r="J698" s="14"/>
      <c r="K698" s="13"/>
      <c r="L698" s="13"/>
      <c r="M698" s="13"/>
      <c r="N698" s="13"/>
      <c r="O698" s="76"/>
      <c r="P698" s="81"/>
      <c r="Q698" s="123"/>
      <c r="R698" s="123"/>
      <c r="S698" s="123"/>
      <c r="T698" s="13">
        <f>LISTA[[#This Row],[TARIFA OUT ]]+LISTA[[#This Row],[TARIFA IN]]+LISTA[[#This Row],[VALOR FINAL]]</f>
        <v>0</v>
      </c>
    </row>
    <row r="699" spans="1:20" x14ac:dyDescent="0.2">
      <c r="A699" s="13"/>
      <c r="B699" s="14"/>
      <c r="C699" s="14"/>
      <c r="D699" s="14"/>
      <c r="E699" s="14"/>
      <c r="F699" s="14"/>
      <c r="G699" s="14"/>
      <c r="H699" s="14"/>
      <c r="I699" s="14"/>
      <c r="J699" s="14"/>
      <c r="K699" s="13"/>
      <c r="L699" s="13"/>
      <c r="M699" s="13"/>
      <c r="N699" s="13"/>
      <c r="O699" s="76"/>
      <c r="P699" s="81"/>
      <c r="Q699" s="123"/>
      <c r="R699" s="123"/>
      <c r="S699" s="123"/>
      <c r="T699" s="13">
        <f>LISTA[[#This Row],[TARIFA OUT ]]+LISTA[[#This Row],[TARIFA IN]]+LISTA[[#This Row],[VALOR FINAL]]</f>
        <v>0</v>
      </c>
    </row>
    <row r="700" spans="1:20" x14ac:dyDescent="0.2">
      <c r="A700" s="13"/>
      <c r="B700" s="14"/>
      <c r="C700" s="14"/>
      <c r="D700" s="14"/>
      <c r="E700" s="14"/>
      <c r="F700" s="14"/>
      <c r="G700" s="14"/>
      <c r="H700" s="14"/>
      <c r="I700" s="14"/>
      <c r="J700" s="14"/>
      <c r="K700" s="13"/>
      <c r="L700" s="13"/>
      <c r="M700" s="13"/>
      <c r="N700" s="13"/>
      <c r="O700" s="76"/>
      <c r="P700" s="81"/>
      <c r="Q700" s="123"/>
      <c r="R700" s="123"/>
      <c r="S700" s="123"/>
      <c r="T700" s="13">
        <f>LISTA[[#This Row],[TARIFA OUT ]]+LISTA[[#This Row],[TARIFA IN]]+LISTA[[#This Row],[VALOR FINAL]]</f>
        <v>0</v>
      </c>
    </row>
    <row r="701" spans="1:20" x14ac:dyDescent="0.2">
      <c r="A701" s="13"/>
      <c r="B701" s="14"/>
      <c r="C701" s="14"/>
      <c r="D701" s="14"/>
      <c r="E701" s="14"/>
      <c r="F701" s="14"/>
      <c r="G701" s="14"/>
      <c r="H701" s="14"/>
      <c r="I701" s="14"/>
      <c r="J701" s="14"/>
      <c r="K701" s="13"/>
      <c r="L701" s="13"/>
      <c r="M701" s="13"/>
      <c r="N701" s="13"/>
      <c r="O701" s="76"/>
      <c r="P701" s="81"/>
      <c r="Q701" s="123"/>
      <c r="R701" s="123"/>
      <c r="S701" s="123"/>
      <c r="T701" s="13">
        <f>LISTA[[#This Row],[TARIFA OUT ]]+LISTA[[#This Row],[TARIFA IN]]+LISTA[[#This Row],[VALOR FINAL]]</f>
        <v>0</v>
      </c>
    </row>
    <row r="702" spans="1:20" x14ac:dyDescent="0.2">
      <c r="A702" s="13"/>
      <c r="B702" s="14"/>
      <c r="C702" s="14"/>
      <c r="D702" s="14"/>
      <c r="E702" s="14"/>
      <c r="F702" s="14"/>
      <c r="G702" s="14"/>
      <c r="H702" s="14"/>
      <c r="I702" s="14"/>
      <c r="J702" s="14"/>
      <c r="K702" s="13"/>
      <c r="L702" s="13"/>
      <c r="M702" s="13"/>
      <c r="N702" s="13"/>
      <c r="O702" s="76"/>
      <c r="P702" s="81"/>
      <c r="Q702" s="123"/>
      <c r="R702" s="123"/>
      <c r="S702" s="123"/>
      <c r="T702" s="13">
        <f>LISTA[[#This Row],[TARIFA OUT ]]+LISTA[[#This Row],[TARIFA IN]]+LISTA[[#This Row],[VALOR FINAL]]</f>
        <v>0</v>
      </c>
    </row>
    <row r="703" spans="1:20" x14ac:dyDescent="0.2">
      <c r="A703" s="13"/>
      <c r="B703" s="14"/>
      <c r="C703" s="14"/>
      <c r="D703" s="14"/>
      <c r="E703" s="14"/>
      <c r="F703" s="14"/>
      <c r="G703" s="14"/>
      <c r="H703" s="14"/>
      <c r="I703" s="14"/>
      <c r="J703" s="14"/>
      <c r="K703" s="13"/>
      <c r="L703" s="13"/>
      <c r="M703" s="13"/>
      <c r="N703" s="13"/>
      <c r="O703" s="76"/>
      <c r="P703" s="81"/>
      <c r="Q703" s="123"/>
      <c r="R703" s="123"/>
      <c r="S703" s="123"/>
      <c r="T703" s="13">
        <f>LISTA[[#This Row],[TARIFA OUT ]]+LISTA[[#This Row],[TARIFA IN]]+LISTA[[#This Row],[VALOR FINAL]]</f>
        <v>0</v>
      </c>
    </row>
    <row r="704" spans="1:20" x14ac:dyDescent="0.2">
      <c r="A704" s="13"/>
      <c r="B704" s="14"/>
      <c r="C704" s="14"/>
      <c r="D704" s="14"/>
      <c r="E704" s="14"/>
      <c r="F704" s="14"/>
      <c r="G704" s="14"/>
      <c r="H704" s="14"/>
      <c r="I704" s="14"/>
      <c r="J704" s="14"/>
      <c r="K704" s="13"/>
      <c r="L704" s="13"/>
      <c r="M704" s="13"/>
      <c r="N704" s="13"/>
      <c r="O704" s="76"/>
      <c r="P704" s="81"/>
      <c r="Q704" s="123"/>
      <c r="R704" s="123"/>
      <c r="S704" s="123"/>
      <c r="T704" s="13">
        <f>LISTA[[#This Row],[TARIFA OUT ]]+LISTA[[#This Row],[TARIFA IN]]+LISTA[[#This Row],[VALOR FINAL]]</f>
        <v>0</v>
      </c>
    </row>
    <row r="705" spans="1:20" x14ac:dyDescent="0.2">
      <c r="A705" s="13"/>
      <c r="B705" s="14"/>
      <c r="C705" s="14"/>
      <c r="D705" s="14"/>
      <c r="E705" s="14"/>
      <c r="F705" s="14"/>
      <c r="G705" s="14"/>
      <c r="H705" s="14"/>
      <c r="I705" s="14"/>
      <c r="J705" s="14"/>
      <c r="K705" s="13"/>
      <c r="L705" s="13"/>
      <c r="M705" s="13"/>
      <c r="N705" s="13"/>
      <c r="O705" s="76"/>
      <c r="P705" s="81"/>
      <c r="Q705" s="123"/>
      <c r="R705" s="123"/>
      <c r="S705" s="123"/>
      <c r="T705" s="13">
        <f>LISTA[[#This Row],[TARIFA OUT ]]+LISTA[[#This Row],[TARIFA IN]]+LISTA[[#This Row],[VALOR FINAL]]</f>
        <v>0</v>
      </c>
    </row>
    <row r="706" spans="1:20" x14ac:dyDescent="0.2">
      <c r="A706" s="13"/>
      <c r="B706" s="14"/>
      <c r="C706" s="14"/>
      <c r="D706" s="14"/>
      <c r="E706" s="14"/>
      <c r="F706" s="14"/>
      <c r="G706" s="14"/>
      <c r="H706" s="14"/>
      <c r="I706" s="14"/>
      <c r="J706" s="14"/>
      <c r="K706" s="13"/>
      <c r="L706" s="13"/>
      <c r="M706" s="13"/>
      <c r="N706" s="13"/>
      <c r="O706" s="76"/>
      <c r="P706" s="81"/>
      <c r="Q706" s="123"/>
      <c r="R706" s="123"/>
      <c r="S706" s="123"/>
      <c r="T706" s="13">
        <f>LISTA[[#This Row],[TARIFA OUT ]]+LISTA[[#This Row],[TARIFA IN]]+LISTA[[#This Row],[VALOR FINAL]]</f>
        <v>0</v>
      </c>
    </row>
    <row r="707" spans="1:20" x14ac:dyDescent="0.2">
      <c r="A707" s="13"/>
      <c r="B707" s="14"/>
      <c r="C707" s="14"/>
      <c r="D707" s="14"/>
      <c r="E707" s="14"/>
      <c r="F707" s="14"/>
      <c r="G707" s="14"/>
      <c r="H707" s="14"/>
      <c r="I707" s="14"/>
      <c r="J707" s="14"/>
      <c r="K707" s="13"/>
      <c r="L707" s="13"/>
      <c r="M707" s="13"/>
      <c r="N707" s="13"/>
      <c r="O707" s="76"/>
      <c r="P707" s="81"/>
      <c r="Q707" s="123"/>
      <c r="R707" s="123"/>
      <c r="S707" s="123"/>
      <c r="T707" s="13">
        <f>LISTA[[#This Row],[TARIFA OUT ]]+LISTA[[#This Row],[TARIFA IN]]+LISTA[[#This Row],[VALOR FINAL]]</f>
        <v>0</v>
      </c>
    </row>
    <row r="708" spans="1:20" x14ac:dyDescent="0.2">
      <c r="A708" s="13"/>
      <c r="B708" s="14"/>
      <c r="C708" s="14"/>
      <c r="D708" s="14"/>
      <c r="E708" s="14"/>
      <c r="F708" s="14"/>
      <c r="G708" s="14"/>
      <c r="H708" s="14"/>
      <c r="I708" s="14"/>
      <c r="J708" s="14"/>
      <c r="K708" s="13"/>
      <c r="L708" s="13"/>
      <c r="M708" s="13"/>
      <c r="N708" s="13"/>
      <c r="O708" s="76"/>
      <c r="P708" s="81"/>
      <c r="Q708" s="123"/>
      <c r="R708" s="123"/>
      <c r="S708" s="123"/>
      <c r="T708" s="13">
        <f>LISTA[[#This Row],[TARIFA OUT ]]+LISTA[[#This Row],[TARIFA IN]]+LISTA[[#This Row],[VALOR FINAL]]</f>
        <v>0</v>
      </c>
    </row>
    <row r="709" spans="1:20" x14ac:dyDescent="0.2">
      <c r="A709" s="13"/>
      <c r="B709" s="14"/>
      <c r="C709" s="14"/>
      <c r="D709" s="14"/>
      <c r="E709" s="14"/>
      <c r="F709" s="14"/>
      <c r="G709" s="14"/>
      <c r="H709" s="14"/>
      <c r="I709" s="14"/>
      <c r="J709" s="14"/>
      <c r="K709" s="13"/>
      <c r="L709" s="13"/>
      <c r="M709" s="13"/>
      <c r="N709" s="13"/>
      <c r="O709" s="76"/>
      <c r="P709" s="81"/>
      <c r="Q709" s="123"/>
      <c r="R709" s="123"/>
      <c r="S709" s="123"/>
      <c r="T709" s="13">
        <f>LISTA[[#This Row],[TARIFA OUT ]]+LISTA[[#This Row],[TARIFA IN]]+LISTA[[#This Row],[VALOR FINAL]]</f>
        <v>0</v>
      </c>
    </row>
    <row r="710" spans="1:20" x14ac:dyDescent="0.2">
      <c r="A710" s="13"/>
      <c r="B710" s="14"/>
      <c r="C710" s="14"/>
      <c r="D710" s="14"/>
      <c r="E710" s="14"/>
      <c r="F710" s="14"/>
      <c r="G710" s="14"/>
      <c r="H710" s="14"/>
      <c r="I710" s="14"/>
      <c r="J710" s="14"/>
      <c r="K710" s="13"/>
      <c r="L710" s="13"/>
      <c r="M710" s="13"/>
      <c r="N710" s="13"/>
      <c r="O710" s="76"/>
      <c r="P710" s="81"/>
      <c r="Q710" s="123"/>
      <c r="R710" s="123"/>
      <c r="S710" s="123"/>
      <c r="T710" s="13">
        <f>LISTA[[#This Row],[TARIFA OUT ]]+LISTA[[#This Row],[TARIFA IN]]+LISTA[[#This Row],[VALOR FINAL]]</f>
        <v>0</v>
      </c>
    </row>
    <row r="711" spans="1:20" x14ac:dyDescent="0.2">
      <c r="A711" s="13"/>
      <c r="B711" s="14"/>
      <c r="C711" s="14"/>
      <c r="D711" s="14"/>
      <c r="E711" s="14"/>
      <c r="F711" s="14"/>
      <c r="G711" s="14"/>
      <c r="H711" s="14"/>
      <c r="I711" s="14"/>
      <c r="J711" s="14"/>
      <c r="K711" s="13"/>
      <c r="L711" s="13"/>
      <c r="M711" s="13"/>
      <c r="N711" s="13"/>
      <c r="O711" s="76"/>
      <c r="P711" s="81"/>
      <c r="Q711" s="123"/>
      <c r="R711" s="123"/>
      <c r="S711" s="123"/>
      <c r="T711" s="13">
        <f>LISTA[[#This Row],[TARIFA OUT ]]+LISTA[[#This Row],[TARIFA IN]]+LISTA[[#This Row],[VALOR FINAL]]</f>
        <v>0</v>
      </c>
    </row>
    <row r="712" spans="1:20" x14ac:dyDescent="0.2">
      <c r="A712" s="13"/>
      <c r="B712" s="14"/>
      <c r="C712" s="14"/>
      <c r="D712" s="14"/>
      <c r="E712" s="14"/>
      <c r="F712" s="14"/>
      <c r="G712" s="14"/>
      <c r="H712" s="14"/>
      <c r="I712" s="14"/>
      <c r="J712" s="14"/>
      <c r="K712" s="13"/>
      <c r="L712" s="13"/>
      <c r="M712" s="13"/>
      <c r="N712" s="13"/>
      <c r="O712" s="76"/>
      <c r="P712" s="81"/>
      <c r="Q712" s="123"/>
      <c r="R712" s="123"/>
      <c r="S712" s="123"/>
      <c r="T712" s="13">
        <f>LISTA[[#This Row],[TARIFA OUT ]]+LISTA[[#This Row],[TARIFA IN]]+LISTA[[#This Row],[VALOR FINAL]]</f>
        <v>0</v>
      </c>
    </row>
    <row r="713" spans="1:20" x14ac:dyDescent="0.2">
      <c r="A713" s="13"/>
      <c r="B713" s="14"/>
      <c r="C713" s="14"/>
      <c r="D713" s="14"/>
      <c r="E713" s="14"/>
      <c r="F713" s="14"/>
      <c r="G713" s="14"/>
      <c r="H713" s="14"/>
      <c r="I713" s="14"/>
      <c r="J713" s="14"/>
      <c r="K713" s="13"/>
      <c r="L713" s="13"/>
      <c r="M713" s="13"/>
      <c r="N713" s="13"/>
      <c r="O713" s="76"/>
      <c r="P713" s="81"/>
      <c r="Q713" s="123"/>
      <c r="R713" s="123"/>
      <c r="S713" s="123"/>
      <c r="T713" s="13">
        <f>LISTA[[#This Row],[TARIFA OUT ]]+LISTA[[#This Row],[TARIFA IN]]+LISTA[[#This Row],[VALOR FINAL]]</f>
        <v>0</v>
      </c>
    </row>
    <row r="714" spans="1:20" x14ac:dyDescent="0.2">
      <c r="A714" s="13"/>
      <c r="B714" s="14"/>
      <c r="C714" s="14"/>
      <c r="D714" s="14"/>
      <c r="E714" s="14"/>
      <c r="F714" s="14"/>
      <c r="G714" s="14"/>
      <c r="H714" s="14"/>
      <c r="I714" s="14"/>
      <c r="J714" s="14"/>
      <c r="K714" s="13"/>
      <c r="L714" s="13"/>
      <c r="M714" s="13"/>
      <c r="N714" s="13"/>
      <c r="O714" s="76"/>
      <c r="P714" s="81"/>
      <c r="Q714" s="123"/>
      <c r="R714" s="123"/>
      <c r="S714" s="123"/>
      <c r="T714" s="13">
        <f>LISTA[[#This Row],[TARIFA OUT ]]+LISTA[[#This Row],[TARIFA IN]]+LISTA[[#This Row],[VALOR FINAL]]</f>
        <v>0</v>
      </c>
    </row>
    <row r="715" spans="1:20" x14ac:dyDescent="0.2">
      <c r="A715" s="13"/>
      <c r="B715" s="14"/>
      <c r="C715" s="14"/>
      <c r="D715" s="14"/>
      <c r="E715" s="14"/>
      <c r="F715" s="14"/>
      <c r="G715" s="14"/>
      <c r="H715" s="14"/>
      <c r="I715" s="14"/>
      <c r="J715" s="14"/>
      <c r="K715" s="13"/>
      <c r="L715" s="13"/>
      <c r="M715" s="13"/>
      <c r="N715" s="13"/>
      <c r="O715" s="76"/>
      <c r="P715" s="81"/>
      <c r="Q715" s="123"/>
      <c r="R715" s="123"/>
      <c r="S715" s="123"/>
      <c r="T715" s="13">
        <f>LISTA[[#This Row],[TARIFA OUT ]]+LISTA[[#This Row],[TARIFA IN]]+LISTA[[#This Row],[VALOR FINAL]]</f>
        <v>0</v>
      </c>
    </row>
    <row r="716" spans="1:20" x14ac:dyDescent="0.2">
      <c r="A716" s="13"/>
      <c r="B716" s="14"/>
      <c r="C716" s="14"/>
      <c r="D716" s="14"/>
      <c r="E716" s="14"/>
      <c r="F716" s="14"/>
      <c r="G716" s="14"/>
      <c r="H716" s="14"/>
      <c r="I716" s="14"/>
      <c r="J716" s="14"/>
      <c r="K716" s="13"/>
      <c r="L716" s="13"/>
      <c r="M716" s="13"/>
      <c r="N716" s="13"/>
      <c r="O716" s="76"/>
      <c r="P716" s="81"/>
      <c r="Q716" s="123"/>
      <c r="R716" s="123"/>
      <c r="S716" s="123"/>
      <c r="T716" s="13">
        <f>LISTA[[#This Row],[TARIFA OUT ]]+LISTA[[#This Row],[TARIFA IN]]+LISTA[[#This Row],[VALOR FINAL]]</f>
        <v>0</v>
      </c>
    </row>
    <row r="717" spans="1:20" x14ac:dyDescent="0.2">
      <c r="A717" s="13"/>
      <c r="B717" s="14"/>
      <c r="C717" s="14"/>
      <c r="D717" s="14"/>
      <c r="E717" s="14"/>
      <c r="F717" s="14"/>
      <c r="G717" s="14"/>
      <c r="H717" s="14"/>
      <c r="I717" s="14"/>
      <c r="J717" s="14"/>
      <c r="K717" s="13"/>
      <c r="L717" s="13"/>
      <c r="M717" s="13"/>
      <c r="N717" s="13"/>
      <c r="O717" s="76"/>
      <c r="P717" s="81"/>
      <c r="Q717" s="123"/>
      <c r="R717" s="123"/>
      <c r="S717" s="123"/>
      <c r="T717" s="13">
        <f>LISTA[[#This Row],[TARIFA OUT ]]+LISTA[[#This Row],[TARIFA IN]]+LISTA[[#This Row],[VALOR FINAL]]</f>
        <v>0</v>
      </c>
    </row>
    <row r="718" spans="1:20" x14ac:dyDescent="0.2">
      <c r="A718" s="13"/>
      <c r="B718" s="14"/>
      <c r="C718" s="14"/>
      <c r="D718" s="14"/>
      <c r="E718" s="14"/>
      <c r="F718" s="14"/>
      <c r="G718" s="14"/>
      <c r="H718" s="14"/>
      <c r="I718" s="14"/>
      <c r="J718" s="14"/>
      <c r="K718" s="13"/>
      <c r="L718" s="13"/>
      <c r="M718" s="13"/>
      <c r="N718" s="13"/>
      <c r="O718" s="76"/>
      <c r="P718" s="81"/>
      <c r="Q718" s="123"/>
      <c r="R718" s="123"/>
      <c r="S718" s="123"/>
      <c r="T718" s="13">
        <f>LISTA[[#This Row],[TARIFA OUT ]]+LISTA[[#This Row],[TARIFA IN]]+LISTA[[#This Row],[VALOR FINAL]]</f>
        <v>0</v>
      </c>
    </row>
    <row r="719" spans="1:20" x14ac:dyDescent="0.2">
      <c r="A719" s="13"/>
      <c r="B719" s="14"/>
      <c r="C719" s="14"/>
      <c r="D719" s="14"/>
      <c r="E719" s="14"/>
      <c r="F719" s="14"/>
      <c r="G719" s="14"/>
      <c r="H719" s="14"/>
      <c r="I719" s="14"/>
      <c r="J719" s="14"/>
      <c r="K719" s="13"/>
      <c r="L719" s="13"/>
      <c r="M719" s="13"/>
      <c r="N719" s="13"/>
      <c r="O719" s="76"/>
      <c r="P719" s="81"/>
      <c r="Q719" s="123"/>
      <c r="R719" s="123"/>
      <c r="S719" s="123"/>
      <c r="T719" s="13">
        <f>LISTA[[#This Row],[TARIFA OUT ]]+LISTA[[#This Row],[TARIFA IN]]+LISTA[[#This Row],[VALOR FINAL]]</f>
        <v>0</v>
      </c>
    </row>
    <row r="720" spans="1:20" x14ac:dyDescent="0.2">
      <c r="A720" s="13"/>
      <c r="B720" s="14"/>
      <c r="C720" s="14"/>
      <c r="D720" s="14"/>
      <c r="E720" s="14"/>
      <c r="F720" s="14"/>
      <c r="G720" s="14"/>
      <c r="H720" s="14"/>
      <c r="I720" s="14"/>
      <c r="J720" s="14"/>
      <c r="K720" s="13"/>
      <c r="L720" s="13"/>
      <c r="M720" s="13"/>
      <c r="N720" s="13"/>
      <c r="O720" s="76"/>
      <c r="P720" s="81"/>
      <c r="Q720" s="123"/>
      <c r="R720" s="123"/>
      <c r="S720" s="123"/>
      <c r="T720" s="13">
        <f>LISTA[[#This Row],[TARIFA OUT ]]+LISTA[[#This Row],[TARIFA IN]]+LISTA[[#This Row],[VALOR FINAL]]</f>
        <v>0</v>
      </c>
    </row>
    <row r="721" spans="1:20" x14ac:dyDescent="0.2">
      <c r="A721" s="13"/>
      <c r="B721" s="14"/>
      <c r="C721" s="14"/>
      <c r="D721" s="14"/>
      <c r="E721" s="14"/>
      <c r="F721" s="14"/>
      <c r="G721" s="14"/>
      <c r="H721" s="14"/>
      <c r="I721" s="14"/>
      <c r="J721" s="14"/>
      <c r="K721" s="13"/>
      <c r="L721" s="13"/>
      <c r="M721" s="13"/>
      <c r="N721" s="13"/>
      <c r="O721" s="76"/>
      <c r="P721" s="81"/>
      <c r="Q721" s="123"/>
      <c r="R721" s="123"/>
      <c r="S721" s="123"/>
      <c r="T721" s="13">
        <f>LISTA[[#This Row],[TARIFA OUT ]]+LISTA[[#This Row],[TARIFA IN]]+LISTA[[#This Row],[VALOR FINAL]]</f>
        <v>0</v>
      </c>
    </row>
    <row r="722" spans="1:20" x14ac:dyDescent="0.2">
      <c r="A722" s="13"/>
      <c r="B722" s="14"/>
      <c r="C722" s="14"/>
      <c r="D722" s="14"/>
      <c r="E722" s="14"/>
      <c r="F722" s="14"/>
      <c r="G722" s="14"/>
      <c r="H722" s="14"/>
      <c r="I722" s="14"/>
      <c r="J722" s="14"/>
      <c r="K722" s="13"/>
      <c r="L722" s="13"/>
      <c r="M722" s="13"/>
      <c r="N722" s="13"/>
      <c r="O722" s="76"/>
      <c r="P722" s="81"/>
      <c r="Q722" s="123"/>
      <c r="R722" s="123"/>
      <c r="S722" s="123"/>
      <c r="T722" s="13">
        <f>LISTA[[#This Row],[TARIFA OUT ]]+LISTA[[#This Row],[TARIFA IN]]+LISTA[[#This Row],[VALOR FINAL]]</f>
        <v>0</v>
      </c>
    </row>
    <row r="723" spans="1:20" x14ac:dyDescent="0.2">
      <c r="A723" s="13"/>
      <c r="B723" s="14"/>
      <c r="C723" s="14"/>
      <c r="D723" s="14"/>
      <c r="E723" s="14"/>
      <c r="F723" s="14"/>
      <c r="G723" s="14"/>
      <c r="H723" s="14"/>
      <c r="I723" s="14"/>
      <c r="J723" s="14"/>
      <c r="K723" s="13"/>
      <c r="L723" s="13"/>
      <c r="M723" s="13"/>
      <c r="N723" s="13"/>
      <c r="O723" s="76"/>
      <c r="P723" s="81"/>
      <c r="Q723" s="123"/>
      <c r="R723" s="123"/>
      <c r="S723" s="123"/>
      <c r="T723" s="13">
        <f>LISTA[[#This Row],[TARIFA OUT ]]+LISTA[[#This Row],[TARIFA IN]]+LISTA[[#This Row],[VALOR FINAL]]</f>
        <v>0</v>
      </c>
    </row>
    <row r="724" spans="1:20" x14ac:dyDescent="0.2">
      <c r="A724" s="13"/>
      <c r="B724" s="14"/>
      <c r="C724" s="14"/>
      <c r="D724" s="14"/>
      <c r="E724" s="14"/>
      <c r="F724" s="14"/>
      <c r="G724" s="14"/>
      <c r="H724" s="14"/>
      <c r="I724" s="14"/>
      <c r="J724" s="14"/>
      <c r="K724" s="13"/>
      <c r="L724" s="13"/>
      <c r="M724" s="13"/>
      <c r="N724" s="13"/>
      <c r="O724" s="76"/>
      <c r="P724" s="81"/>
      <c r="Q724" s="123"/>
      <c r="R724" s="123"/>
      <c r="S724" s="123"/>
      <c r="T724" s="13">
        <f>LISTA[[#This Row],[TARIFA OUT ]]+LISTA[[#This Row],[TARIFA IN]]+LISTA[[#This Row],[VALOR FINAL]]</f>
        <v>0</v>
      </c>
    </row>
    <row r="725" spans="1:20" x14ac:dyDescent="0.2">
      <c r="A725" s="13"/>
      <c r="B725" s="14"/>
      <c r="C725" s="14"/>
      <c r="D725" s="14"/>
      <c r="E725" s="14"/>
      <c r="F725" s="14"/>
      <c r="G725" s="14"/>
      <c r="H725" s="14"/>
      <c r="I725" s="14"/>
      <c r="J725" s="14"/>
      <c r="K725" s="13"/>
      <c r="L725" s="13"/>
      <c r="M725" s="13"/>
      <c r="N725" s="13"/>
      <c r="O725" s="76"/>
      <c r="P725" s="81"/>
      <c r="Q725" s="123"/>
      <c r="R725" s="123"/>
      <c r="S725" s="123"/>
      <c r="T725" s="13">
        <f>LISTA[[#This Row],[TARIFA OUT ]]+LISTA[[#This Row],[TARIFA IN]]+LISTA[[#This Row],[VALOR FINAL]]</f>
        <v>0</v>
      </c>
    </row>
    <row r="726" spans="1:20" x14ac:dyDescent="0.2">
      <c r="A726" s="13"/>
      <c r="B726" s="14"/>
      <c r="C726" s="14"/>
      <c r="D726" s="14"/>
      <c r="E726" s="14"/>
      <c r="F726" s="14"/>
      <c r="G726" s="14"/>
      <c r="H726" s="14"/>
      <c r="I726" s="14"/>
      <c r="J726" s="14"/>
      <c r="K726" s="13"/>
      <c r="L726" s="13"/>
      <c r="M726" s="13"/>
      <c r="N726" s="13"/>
      <c r="O726" s="76"/>
      <c r="P726" s="81"/>
      <c r="Q726" s="123"/>
      <c r="R726" s="123"/>
      <c r="S726" s="123"/>
      <c r="T726" s="13">
        <f>LISTA[[#This Row],[TARIFA OUT ]]+LISTA[[#This Row],[TARIFA IN]]+LISTA[[#This Row],[VALOR FINAL]]</f>
        <v>0</v>
      </c>
    </row>
    <row r="727" spans="1:20" x14ac:dyDescent="0.2">
      <c r="A727" s="13"/>
      <c r="B727" s="14"/>
      <c r="C727" s="14"/>
      <c r="D727" s="14"/>
      <c r="E727" s="14"/>
      <c r="F727" s="14"/>
      <c r="G727" s="14"/>
      <c r="H727" s="14"/>
      <c r="I727" s="14"/>
      <c r="J727" s="14"/>
      <c r="K727" s="13"/>
      <c r="L727" s="13"/>
      <c r="M727" s="13"/>
      <c r="N727" s="13"/>
      <c r="O727" s="76"/>
      <c r="P727" s="81"/>
      <c r="Q727" s="123"/>
      <c r="R727" s="123"/>
      <c r="S727" s="123"/>
      <c r="T727" s="13">
        <f>LISTA[[#This Row],[TARIFA OUT ]]+LISTA[[#This Row],[TARIFA IN]]+LISTA[[#This Row],[VALOR FINAL]]</f>
        <v>0</v>
      </c>
    </row>
    <row r="728" spans="1:20" x14ac:dyDescent="0.2">
      <c r="A728" s="13"/>
      <c r="B728" s="14"/>
      <c r="C728" s="14"/>
      <c r="D728" s="14"/>
      <c r="E728" s="14"/>
      <c r="F728" s="14"/>
      <c r="G728" s="14"/>
      <c r="H728" s="14"/>
      <c r="I728" s="14"/>
      <c r="J728" s="14"/>
      <c r="K728" s="13"/>
      <c r="L728" s="13"/>
      <c r="M728" s="13"/>
      <c r="N728" s="13"/>
      <c r="O728" s="76"/>
      <c r="P728" s="81"/>
      <c r="Q728" s="123"/>
      <c r="R728" s="123"/>
      <c r="S728" s="123"/>
      <c r="T728" s="13">
        <f>LISTA[[#This Row],[TARIFA OUT ]]+LISTA[[#This Row],[TARIFA IN]]+LISTA[[#This Row],[VALOR FINAL]]</f>
        <v>0</v>
      </c>
    </row>
    <row r="729" spans="1:20" x14ac:dyDescent="0.2">
      <c r="A729" s="13"/>
      <c r="B729" s="14"/>
      <c r="C729" s="14"/>
      <c r="D729" s="14"/>
      <c r="E729" s="14"/>
      <c r="F729" s="14"/>
      <c r="G729" s="14"/>
      <c r="H729" s="14"/>
      <c r="I729" s="14"/>
      <c r="J729" s="14"/>
      <c r="K729" s="13"/>
      <c r="L729" s="13"/>
      <c r="M729" s="13"/>
      <c r="N729" s="13"/>
      <c r="O729" s="76"/>
      <c r="P729" s="81"/>
      <c r="Q729" s="123"/>
      <c r="R729" s="123"/>
      <c r="S729" s="123"/>
      <c r="T729" s="13">
        <f>LISTA[[#This Row],[TARIFA OUT ]]+LISTA[[#This Row],[TARIFA IN]]+LISTA[[#This Row],[VALOR FINAL]]</f>
        <v>0</v>
      </c>
    </row>
    <row r="730" spans="1:20" x14ac:dyDescent="0.2">
      <c r="A730" s="13"/>
      <c r="B730" s="14"/>
      <c r="C730" s="14"/>
      <c r="D730" s="14"/>
      <c r="E730" s="14"/>
      <c r="F730" s="14"/>
      <c r="G730" s="14"/>
      <c r="H730" s="14"/>
      <c r="I730" s="14"/>
      <c r="J730" s="14"/>
      <c r="K730" s="13"/>
      <c r="L730" s="13"/>
      <c r="M730" s="13"/>
      <c r="N730" s="13"/>
      <c r="O730" s="76"/>
      <c r="P730" s="81"/>
      <c r="Q730" s="123"/>
      <c r="R730" s="123"/>
      <c r="S730" s="123"/>
      <c r="T730" s="13">
        <f>LISTA[[#This Row],[TARIFA OUT ]]+LISTA[[#This Row],[TARIFA IN]]+LISTA[[#This Row],[VALOR FINAL]]</f>
        <v>0</v>
      </c>
    </row>
    <row r="731" spans="1:20" x14ac:dyDescent="0.2">
      <c r="A731" s="13"/>
      <c r="B731" s="14"/>
      <c r="C731" s="14"/>
      <c r="D731" s="14"/>
      <c r="E731" s="14"/>
      <c r="F731" s="14"/>
      <c r="G731" s="14"/>
      <c r="H731" s="14"/>
      <c r="I731" s="14"/>
      <c r="J731" s="14"/>
      <c r="K731" s="13"/>
      <c r="L731" s="13"/>
      <c r="M731" s="13"/>
      <c r="N731" s="13"/>
      <c r="O731" s="76"/>
      <c r="P731" s="81"/>
      <c r="Q731" s="123"/>
      <c r="R731" s="123"/>
      <c r="S731" s="123"/>
      <c r="T731" s="13">
        <f>LISTA[[#This Row],[TARIFA OUT ]]+LISTA[[#This Row],[TARIFA IN]]+LISTA[[#This Row],[VALOR FINAL]]</f>
        <v>0</v>
      </c>
    </row>
    <row r="732" spans="1:20" x14ac:dyDescent="0.2">
      <c r="A732" s="13"/>
      <c r="B732" s="14"/>
      <c r="C732" s="14"/>
      <c r="D732" s="14"/>
      <c r="E732" s="14"/>
      <c r="F732" s="14"/>
      <c r="G732" s="14"/>
      <c r="H732" s="14"/>
      <c r="I732" s="14"/>
      <c r="J732" s="14"/>
      <c r="K732" s="13"/>
      <c r="L732" s="13"/>
      <c r="M732" s="13"/>
      <c r="N732" s="13"/>
      <c r="O732" s="76"/>
      <c r="P732" s="81"/>
      <c r="Q732" s="123"/>
      <c r="R732" s="123"/>
      <c r="S732" s="123"/>
      <c r="T732" s="13">
        <f>LISTA[[#This Row],[TARIFA OUT ]]+LISTA[[#This Row],[TARIFA IN]]+LISTA[[#This Row],[VALOR FINAL]]</f>
        <v>0</v>
      </c>
    </row>
    <row r="733" spans="1:20" x14ac:dyDescent="0.2">
      <c r="A733" s="13"/>
      <c r="B733" s="14"/>
      <c r="C733" s="14"/>
      <c r="D733" s="14"/>
      <c r="E733" s="14"/>
      <c r="F733" s="14"/>
      <c r="G733" s="14"/>
      <c r="H733" s="14"/>
      <c r="I733" s="14"/>
      <c r="J733" s="14"/>
      <c r="K733" s="13"/>
      <c r="L733" s="13"/>
      <c r="M733" s="13"/>
      <c r="N733" s="13"/>
      <c r="O733" s="76"/>
      <c r="P733" s="81"/>
      <c r="Q733" s="123"/>
      <c r="R733" s="123"/>
      <c r="S733" s="123"/>
      <c r="T733" s="13">
        <f>LISTA[[#This Row],[TARIFA OUT ]]+LISTA[[#This Row],[TARIFA IN]]+LISTA[[#This Row],[VALOR FINAL]]</f>
        <v>0</v>
      </c>
    </row>
    <row r="734" spans="1:20" x14ac:dyDescent="0.2">
      <c r="A734" s="13"/>
      <c r="B734" s="14"/>
      <c r="C734" s="14"/>
      <c r="D734" s="14"/>
      <c r="E734" s="14"/>
      <c r="F734" s="14"/>
      <c r="G734" s="14"/>
      <c r="H734" s="14"/>
      <c r="I734" s="14"/>
      <c r="J734" s="14"/>
      <c r="K734" s="13"/>
      <c r="L734" s="13"/>
      <c r="M734" s="13"/>
      <c r="N734" s="13"/>
      <c r="O734" s="76"/>
      <c r="P734" s="81"/>
      <c r="Q734" s="123"/>
      <c r="R734" s="123"/>
      <c r="S734" s="123"/>
      <c r="T734" s="13">
        <f>LISTA[[#This Row],[TARIFA OUT ]]+LISTA[[#This Row],[TARIFA IN]]+LISTA[[#This Row],[VALOR FINAL]]</f>
        <v>0</v>
      </c>
    </row>
    <row r="735" spans="1:20" x14ac:dyDescent="0.2">
      <c r="A735" s="13"/>
      <c r="B735" s="14"/>
      <c r="C735" s="14"/>
      <c r="D735" s="14"/>
      <c r="E735" s="14"/>
      <c r="F735" s="14"/>
      <c r="G735" s="14"/>
      <c r="H735" s="14"/>
      <c r="I735" s="14"/>
      <c r="J735" s="14"/>
      <c r="K735" s="13"/>
      <c r="L735" s="13"/>
      <c r="M735" s="13"/>
      <c r="N735" s="13"/>
      <c r="O735" s="76"/>
      <c r="P735" s="81"/>
      <c r="Q735" s="123"/>
      <c r="R735" s="123"/>
      <c r="S735" s="123"/>
      <c r="T735" s="13">
        <f>LISTA[[#This Row],[TARIFA OUT ]]+LISTA[[#This Row],[TARIFA IN]]+LISTA[[#This Row],[VALOR FINAL]]</f>
        <v>0</v>
      </c>
    </row>
    <row r="736" spans="1:20" x14ac:dyDescent="0.2">
      <c r="A736" s="13"/>
      <c r="B736" s="14"/>
      <c r="C736" s="14"/>
      <c r="D736" s="14"/>
      <c r="E736" s="14"/>
      <c r="F736" s="14"/>
      <c r="G736" s="14"/>
      <c r="H736" s="14"/>
      <c r="I736" s="14"/>
      <c r="J736" s="14"/>
      <c r="K736" s="13"/>
      <c r="L736" s="13"/>
      <c r="M736" s="13"/>
      <c r="N736" s="13"/>
      <c r="O736" s="76"/>
      <c r="P736" s="81"/>
      <c r="Q736" s="123"/>
      <c r="R736" s="123"/>
      <c r="S736" s="123"/>
      <c r="T736" s="13">
        <f>LISTA[[#This Row],[TARIFA OUT ]]+LISTA[[#This Row],[TARIFA IN]]+LISTA[[#This Row],[VALOR FINAL]]</f>
        <v>0</v>
      </c>
    </row>
    <row r="737" spans="1:20" x14ac:dyDescent="0.2">
      <c r="A737" s="13"/>
      <c r="B737" s="14"/>
      <c r="C737" s="14"/>
      <c r="D737" s="14"/>
      <c r="E737" s="14"/>
      <c r="F737" s="14"/>
      <c r="G737" s="14"/>
      <c r="H737" s="14"/>
      <c r="I737" s="14"/>
      <c r="J737" s="14"/>
      <c r="K737" s="13"/>
      <c r="L737" s="13"/>
      <c r="M737" s="13"/>
      <c r="N737" s="13"/>
      <c r="O737" s="76"/>
      <c r="P737" s="81"/>
      <c r="Q737" s="123"/>
      <c r="R737" s="123"/>
      <c r="S737" s="123"/>
      <c r="T737" s="13">
        <f>LISTA[[#This Row],[TARIFA OUT ]]+LISTA[[#This Row],[TARIFA IN]]+LISTA[[#This Row],[VALOR FINAL]]</f>
        <v>0</v>
      </c>
    </row>
    <row r="738" spans="1:20" x14ac:dyDescent="0.2">
      <c r="A738" s="13"/>
      <c r="B738" s="14"/>
      <c r="C738" s="14"/>
      <c r="D738" s="14"/>
      <c r="E738" s="14"/>
      <c r="F738" s="14"/>
      <c r="G738" s="14"/>
      <c r="H738" s="14"/>
      <c r="I738" s="14"/>
      <c r="J738" s="14"/>
      <c r="K738" s="13"/>
      <c r="L738" s="13"/>
      <c r="M738" s="13"/>
      <c r="N738" s="13"/>
      <c r="O738" s="76"/>
      <c r="P738" s="81"/>
      <c r="Q738" s="123"/>
      <c r="R738" s="123"/>
      <c r="S738" s="123"/>
      <c r="T738" s="13">
        <f>LISTA[[#This Row],[TARIFA OUT ]]+LISTA[[#This Row],[TARIFA IN]]+LISTA[[#This Row],[VALOR FINAL]]</f>
        <v>0</v>
      </c>
    </row>
    <row r="739" spans="1:20" x14ac:dyDescent="0.2">
      <c r="A739" s="13"/>
      <c r="B739" s="14"/>
      <c r="C739" s="14"/>
      <c r="D739" s="14"/>
      <c r="E739" s="14"/>
      <c r="F739" s="14"/>
      <c r="G739" s="14"/>
      <c r="H739" s="14"/>
      <c r="I739" s="14"/>
      <c r="J739" s="14"/>
      <c r="K739" s="13"/>
      <c r="L739" s="13"/>
      <c r="M739" s="13"/>
      <c r="N739" s="13"/>
      <c r="O739" s="76"/>
      <c r="P739" s="81"/>
      <c r="Q739" s="123"/>
      <c r="R739" s="123"/>
      <c r="S739" s="123"/>
      <c r="T739" s="13">
        <f>LISTA[[#This Row],[TARIFA OUT ]]+LISTA[[#This Row],[TARIFA IN]]+LISTA[[#This Row],[VALOR FINAL]]</f>
        <v>0</v>
      </c>
    </row>
    <row r="740" spans="1:20" x14ac:dyDescent="0.2">
      <c r="A740" s="13"/>
      <c r="B740" s="14"/>
      <c r="C740" s="14"/>
      <c r="D740" s="14"/>
      <c r="E740" s="14"/>
      <c r="F740" s="14"/>
      <c r="G740" s="14"/>
      <c r="H740" s="14"/>
      <c r="I740" s="14"/>
      <c r="J740" s="14"/>
      <c r="K740" s="13"/>
      <c r="L740" s="13"/>
      <c r="M740" s="13"/>
      <c r="N740" s="13"/>
      <c r="O740" s="76"/>
      <c r="P740" s="81"/>
      <c r="Q740" s="123"/>
      <c r="R740" s="123"/>
      <c r="S740" s="123"/>
      <c r="T740" s="13">
        <f>LISTA[[#This Row],[TARIFA OUT ]]+LISTA[[#This Row],[TARIFA IN]]+LISTA[[#This Row],[VALOR FINAL]]</f>
        <v>0</v>
      </c>
    </row>
    <row r="741" spans="1:20" x14ac:dyDescent="0.2">
      <c r="A741" s="13"/>
      <c r="B741" s="14"/>
      <c r="C741" s="14"/>
      <c r="D741" s="14"/>
      <c r="E741" s="14"/>
      <c r="F741" s="14"/>
      <c r="G741" s="14"/>
      <c r="H741" s="14"/>
      <c r="I741" s="14"/>
      <c r="J741" s="14"/>
      <c r="K741" s="13"/>
      <c r="L741" s="13"/>
      <c r="M741" s="13"/>
      <c r="N741" s="13"/>
      <c r="O741" s="76"/>
      <c r="P741" s="81"/>
      <c r="Q741" s="123"/>
      <c r="R741" s="123"/>
      <c r="S741" s="123"/>
      <c r="T741" s="13">
        <f>LISTA[[#This Row],[TARIFA OUT ]]+LISTA[[#This Row],[TARIFA IN]]+LISTA[[#This Row],[VALOR FINAL]]</f>
        <v>0</v>
      </c>
    </row>
    <row r="742" spans="1:20" x14ac:dyDescent="0.2">
      <c r="A742" s="13"/>
      <c r="B742" s="14"/>
      <c r="C742" s="14"/>
      <c r="D742" s="14"/>
      <c r="E742" s="14"/>
      <c r="F742" s="14"/>
      <c r="G742" s="14"/>
      <c r="H742" s="14"/>
      <c r="I742" s="14"/>
      <c r="J742" s="14"/>
      <c r="K742" s="13"/>
      <c r="L742" s="13"/>
      <c r="M742" s="13"/>
      <c r="N742" s="13"/>
      <c r="O742" s="76"/>
      <c r="P742" s="81"/>
      <c r="Q742" s="123"/>
      <c r="R742" s="123"/>
      <c r="S742" s="123"/>
      <c r="T742" s="13">
        <f>LISTA[[#This Row],[TARIFA OUT ]]+LISTA[[#This Row],[TARIFA IN]]+LISTA[[#This Row],[VALOR FINAL]]</f>
        <v>0</v>
      </c>
    </row>
    <row r="743" spans="1:20" x14ac:dyDescent="0.2">
      <c r="A743" s="13"/>
      <c r="B743" s="14"/>
      <c r="C743" s="14"/>
      <c r="D743" s="14"/>
      <c r="E743" s="14"/>
      <c r="F743" s="14"/>
      <c r="G743" s="14"/>
      <c r="H743" s="14"/>
      <c r="I743" s="14"/>
      <c r="J743" s="14"/>
      <c r="K743" s="13"/>
      <c r="L743" s="13"/>
      <c r="M743" s="13"/>
      <c r="N743" s="13"/>
      <c r="O743" s="76"/>
      <c r="P743" s="81"/>
      <c r="Q743" s="123"/>
      <c r="R743" s="123"/>
      <c r="S743" s="123"/>
      <c r="T743" s="13">
        <f>LISTA[[#This Row],[TARIFA OUT ]]+LISTA[[#This Row],[TARIFA IN]]+LISTA[[#This Row],[VALOR FINAL]]</f>
        <v>0</v>
      </c>
    </row>
    <row r="744" spans="1:20" x14ac:dyDescent="0.2">
      <c r="A744" s="13"/>
      <c r="B744" s="14"/>
      <c r="C744" s="14"/>
      <c r="D744" s="14"/>
      <c r="E744" s="14"/>
      <c r="F744" s="14"/>
      <c r="G744" s="14"/>
      <c r="H744" s="14"/>
      <c r="I744" s="14"/>
      <c r="J744" s="14"/>
      <c r="K744" s="13"/>
      <c r="L744" s="13"/>
      <c r="M744" s="13"/>
      <c r="N744" s="13"/>
      <c r="O744" s="76"/>
      <c r="P744" s="81"/>
      <c r="Q744" s="123"/>
      <c r="R744" s="123"/>
      <c r="S744" s="123"/>
      <c r="T744" s="13">
        <f>LISTA[[#This Row],[TARIFA OUT ]]+LISTA[[#This Row],[TARIFA IN]]+LISTA[[#This Row],[VALOR FINAL]]</f>
        <v>0</v>
      </c>
    </row>
    <row r="745" spans="1:20" x14ac:dyDescent="0.2">
      <c r="A745" s="13"/>
      <c r="B745" s="14"/>
      <c r="C745" s="14"/>
      <c r="D745" s="14"/>
      <c r="E745" s="14"/>
      <c r="F745" s="14"/>
      <c r="G745" s="14"/>
      <c r="H745" s="14"/>
      <c r="I745" s="14"/>
      <c r="J745" s="14"/>
      <c r="K745" s="13"/>
      <c r="L745" s="13"/>
      <c r="M745" s="13"/>
      <c r="N745" s="13"/>
      <c r="O745" s="76"/>
      <c r="P745" s="81"/>
      <c r="Q745" s="123"/>
      <c r="R745" s="123"/>
      <c r="S745" s="123"/>
      <c r="T745" s="13">
        <f>LISTA[[#This Row],[TARIFA OUT ]]+LISTA[[#This Row],[TARIFA IN]]+LISTA[[#This Row],[VALOR FINAL]]</f>
        <v>0</v>
      </c>
    </row>
    <row r="746" spans="1:20" x14ac:dyDescent="0.2">
      <c r="A746" s="13"/>
      <c r="B746" s="14"/>
      <c r="C746" s="14"/>
      <c r="D746" s="14"/>
      <c r="E746" s="14"/>
      <c r="F746" s="14"/>
      <c r="G746" s="14"/>
      <c r="H746" s="14"/>
      <c r="I746" s="14"/>
      <c r="J746" s="14"/>
      <c r="K746" s="13"/>
      <c r="L746" s="13"/>
      <c r="M746" s="13"/>
      <c r="N746" s="13"/>
      <c r="O746" s="76"/>
      <c r="P746" s="81"/>
      <c r="Q746" s="123"/>
      <c r="R746" s="123"/>
      <c r="S746" s="123"/>
      <c r="T746" s="13">
        <f>LISTA[[#This Row],[TARIFA OUT ]]+LISTA[[#This Row],[TARIFA IN]]+LISTA[[#This Row],[VALOR FINAL]]</f>
        <v>0</v>
      </c>
    </row>
    <row r="747" spans="1:20" x14ac:dyDescent="0.2">
      <c r="A747" s="13"/>
      <c r="B747" s="14"/>
      <c r="C747" s="14"/>
      <c r="D747" s="14"/>
      <c r="E747" s="14"/>
      <c r="F747" s="14"/>
      <c r="G747" s="14"/>
      <c r="H747" s="14"/>
      <c r="I747" s="14"/>
      <c r="J747" s="14"/>
      <c r="K747" s="13"/>
      <c r="L747" s="13"/>
      <c r="M747" s="13"/>
      <c r="N747" s="13"/>
      <c r="O747" s="76"/>
      <c r="P747" s="81"/>
      <c r="Q747" s="123"/>
      <c r="R747" s="123"/>
      <c r="S747" s="123"/>
      <c r="T747" s="13">
        <f>LISTA[[#This Row],[TARIFA OUT ]]+LISTA[[#This Row],[TARIFA IN]]+LISTA[[#This Row],[VALOR FINAL]]</f>
        <v>0</v>
      </c>
    </row>
    <row r="748" spans="1:20" x14ac:dyDescent="0.2">
      <c r="A748" s="13"/>
      <c r="B748" s="14"/>
      <c r="C748" s="14"/>
      <c r="D748" s="14"/>
      <c r="E748" s="14"/>
      <c r="F748" s="14"/>
      <c r="G748" s="14"/>
      <c r="H748" s="14"/>
      <c r="I748" s="14"/>
      <c r="J748" s="14"/>
      <c r="K748" s="13"/>
      <c r="L748" s="13"/>
      <c r="M748" s="13"/>
      <c r="N748" s="13"/>
      <c r="O748" s="76"/>
      <c r="P748" s="81"/>
      <c r="Q748" s="123"/>
      <c r="R748" s="123"/>
      <c r="S748" s="123"/>
      <c r="T748" s="13">
        <f>LISTA[[#This Row],[TARIFA OUT ]]+LISTA[[#This Row],[TARIFA IN]]+LISTA[[#This Row],[VALOR FINAL]]</f>
        <v>0</v>
      </c>
    </row>
    <row r="749" spans="1:20" x14ac:dyDescent="0.2">
      <c r="A749" s="13"/>
      <c r="B749" s="14"/>
      <c r="C749" s="14"/>
      <c r="D749" s="14"/>
      <c r="E749" s="14"/>
      <c r="F749" s="14"/>
      <c r="G749" s="14"/>
      <c r="H749" s="14"/>
      <c r="I749" s="14"/>
      <c r="J749" s="14"/>
      <c r="K749" s="13"/>
      <c r="L749" s="13"/>
      <c r="M749" s="13"/>
      <c r="N749" s="13"/>
      <c r="O749" s="76"/>
      <c r="P749" s="81"/>
      <c r="Q749" s="123"/>
      <c r="R749" s="123"/>
      <c r="S749" s="123"/>
      <c r="T749" s="13">
        <f>LISTA[[#This Row],[TARIFA OUT ]]+LISTA[[#This Row],[TARIFA IN]]+LISTA[[#This Row],[VALOR FINAL]]</f>
        <v>0</v>
      </c>
    </row>
    <row r="750" spans="1:20" x14ac:dyDescent="0.2">
      <c r="A750" s="13"/>
      <c r="B750" s="14"/>
      <c r="C750" s="14"/>
      <c r="D750" s="14"/>
      <c r="E750" s="14"/>
      <c r="F750" s="14"/>
      <c r="G750" s="14"/>
      <c r="H750" s="14"/>
      <c r="I750" s="14"/>
      <c r="J750" s="14"/>
      <c r="K750" s="13"/>
      <c r="L750" s="13"/>
      <c r="M750" s="13"/>
      <c r="N750" s="13"/>
      <c r="O750" s="76"/>
      <c r="P750" s="81"/>
      <c r="Q750" s="123"/>
      <c r="R750" s="123"/>
      <c r="S750" s="123"/>
      <c r="T750" s="13">
        <f>LISTA[[#This Row],[TARIFA OUT ]]+LISTA[[#This Row],[TARIFA IN]]+LISTA[[#This Row],[VALOR FINAL]]</f>
        <v>0</v>
      </c>
    </row>
    <row r="751" spans="1:20" x14ac:dyDescent="0.2">
      <c r="A751" s="13"/>
      <c r="B751" s="14"/>
      <c r="C751" s="14"/>
      <c r="D751" s="14"/>
      <c r="E751" s="14"/>
      <c r="F751" s="14"/>
      <c r="G751" s="14"/>
      <c r="H751" s="14"/>
      <c r="I751" s="14"/>
      <c r="J751" s="14"/>
      <c r="K751" s="13"/>
      <c r="L751" s="13"/>
      <c r="M751" s="13"/>
      <c r="N751" s="13"/>
      <c r="O751" s="76"/>
      <c r="P751" s="81"/>
      <c r="Q751" s="123"/>
      <c r="R751" s="123"/>
      <c r="S751" s="123"/>
      <c r="T751" s="13">
        <f>LISTA[[#This Row],[TARIFA OUT ]]+LISTA[[#This Row],[TARIFA IN]]+LISTA[[#This Row],[VALOR FINAL]]</f>
        <v>0</v>
      </c>
    </row>
    <row r="752" spans="1:20" x14ac:dyDescent="0.2">
      <c r="A752" s="13"/>
      <c r="B752" s="14"/>
      <c r="C752" s="14"/>
      <c r="D752" s="14"/>
      <c r="E752" s="14"/>
      <c r="F752" s="14"/>
      <c r="G752" s="14"/>
      <c r="H752" s="14"/>
      <c r="I752" s="14"/>
      <c r="J752" s="14"/>
      <c r="K752" s="13"/>
      <c r="L752" s="13"/>
      <c r="M752" s="13"/>
      <c r="N752" s="13"/>
      <c r="O752" s="76"/>
      <c r="P752" s="81"/>
      <c r="Q752" s="123"/>
      <c r="R752" s="123"/>
      <c r="S752" s="123"/>
      <c r="T752" s="13">
        <f>LISTA[[#This Row],[TARIFA OUT ]]+LISTA[[#This Row],[TARIFA IN]]+LISTA[[#This Row],[VALOR FINAL]]</f>
        <v>0</v>
      </c>
    </row>
    <row r="753" spans="1:20" x14ac:dyDescent="0.2">
      <c r="A753" s="13"/>
      <c r="B753" s="14"/>
      <c r="C753" s="14"/>
      <c r="D753" s="14"/>
      <c r="E753" s="14"/>
      <c r="F753" s="14"/>
      <c r="G753" s="14"/>
      <c r="H753" s="14"/>
      <c r="I753" s="14"/>
      <c r="J753" s="14"/>
      <c r="K753" s="13"/>
      <c r="L753" s="13"/>
      <c r="M753" s="13"/>
      <c r="N753" s="13"/>
      <c r="O753" s="76"/>
      <c r="P753" s="81"/>
      <c r="Q753" s="123"/>
      <c r="R753" s="123"/>
      <c r="S753" s="123"/>
      <c r="T753" s="13">
        <f>LISTA[[#This Row],[TARIFA OUT ]]+LISTA[[#This Row],[TARIFA IN]]+LISTA[[#This Row],[VALOR FINAL]]</f>
        <v>0</v>
      </c>
    </row>
    <row r="754" spans="1:20" x14ac:dyDescent="0.2">
      <c r="A754" s="13"/>
      <c r="B754" s="14"/>
      <c r="C754" s="14"/>
      <c r="D754" s="14"/>
      <c r="E754" s="14"/>
      <c r="F754" s="14"/>
      <c r="G754" s="14"/>
      <c r="H754" s="14"/>
      <c r="I754" s="14"/>
      <c r="J754" s="14"/>
      <c r="K754" s="13"/>
      <c r="L754" s="13"/>
      <c r="M754" s="13"/>
      <c r="N754" s="13"/>
      <c r="O754" s="76"/>
      <c r="P754" s="81"/>
      <c r="Q754" s="123"/>
      <c r="R754" s="123"/>
      <c r="S754" s="123"/>
      <c r="T754" s="13">
        <f>LISTA[[#This Row],[TARIFA OUT ]]+LISTA[[#This Row],[TARIFA IN]]+LISTA[[#This Row],[VALOR FINAL]]</f>
        <v>0</v>
      </c>
    </row>
    <row r="755" spans="1:20" x14ac:dyDescent="0.2">
      <c r="A755" s="13"/>
      <c r="B755" s="14"/>
      <c r="C755" s="14"/>
      <c r="D755" s="14"/>
      <c r="E755" s="14"/>
      <c r="F755" s="14"/>
      <c r="G755" s="14"/>
      <c r="H755" s="14"/>
      <c r="I755" s="14"/>
      <c r="J755" s="14"/>
      <c r="K755" s="13"/>
      <c r="L755" s="13"/>
      <c r="M755" s="13"/>
      <c r="N755" s="13"/>
      <c r="O755" s="76"/>
      <c r="P755" s="81"/>
      <c r="Q755" s="123"/>
      <c r="R755" s="123"/>
      <c r="S755" s="123"/>
      <c r="T755" s="13">
        <f>LISTA[[#This Row],[TARIFA OUT ]]+LISTA[[#This Row],[TARIFA IN]]+LISTA[[#This Row],[VALOR FINAL]]</f>
        <v>0</v>
      </c>
    </row>
    <row r="756" spans="1:20" x14ac:dyDescent="0.2">
      <c r="A756" s="13"/>
      <c r="B756" s="14"/>
      <c r="C756" s="14"/>
      <c r="D756" s="14"/>
      <c r="E756" s="14"/>
      <c r="F756" s="14"/>
      <c r="G756" s="14"/>
      <c r="H756" s="14"/>
      <c r="I756" s="14"/>
      <c r="J756" s="14"/>
      <c r="K756" s="13"/>
      <c r="L756" s="13"/>
      <c r="M756" s="13"/>
      <c r="N756" s="13"/>
      <c r="O756" s="76"/>
      <c r="P756" s="81"/>
      <c r="Q756" s="123"/>
      <c r="R756" s="123"/>
      <c r="S756" s="123"/>
      <c r="T756" s="13">
        <f>LISTA[[#This Row],[TARIFA OUT ]]+LISTA[[#This Row],[TARIFA IN]]+LISTA[[#This Row],[VALOR FINAL]]</f>
        <v>0</v>
      </c>
    </row>
    <row r="757" spans="1:20" x14ac:dyDescent="0.2">
      <c r="A757" s="13"/>
      <c r="B757" s="14"/>
      <c r="C757" s="14"/>
      <c r="D757" s="14"/>
      <c r="E757" s="14"/>
      <c r="F757" s="14"/>
      <c r="G757" s="14"/>
      <c r="H757" s="14"/>
      <c r="I757" s="14"/>
      <c r="J757" s="14"/>
      <c r="K757" s="13"/>
      <c r="L757" s="13"/>
      <c r="M757" s="13"/>
      <c r="N757" s="13"/>
      <c r="O757" s="76"/>
      <c r="P757" s="81"/>
      <c r="Q757" s="123"/>
      <c r="R757" s="123"/>
      <c r="S757" s="123"/>
      <c r="T757" s="13">
        <f>LISTA[[#This Row],[TARIFA OUT ]]+LISTA[[#This Row],[TARIFA IN]]+LISTA[[#This Row],[VALOR FINAL]]</f>
        <v>0</v>
      </c>
    </row>
    <row r="758" spans="1:20" x14ac:dyDescent="0.2">
      <c r="A758" s="13"/>
      <c r="B758" s="14"/>
      <c r="C758" s="14"/>
      <c r="D758" s="14"/>
      <c r="E758" s="14"/>
      <c r="F758" s="14"/>
      <c r="G758" s="14"/>
      <c r="H758" s="14"/>
      <c r="I758" s="14"/>
      <c r="J758" s="14"/>
      <c r="K758" s="13"/>
      <c r="L758" s="13"/>
      <c r="M758" s="13"/>
      <c r="N758" s="13"/>
      <c r="O758" s="76"/>
      <c r="P758" s="81"/>
      <c r="Q758" s="123"/>
      <c r="R758" s="123"/>
      <c r="S758" s="123"/>
      <c r="T758" s="13">
        <f>LISTA[[#This Row],[TARIFA OUT ]]+LISTA[[#This Row],[TARIFA IN]]+LISTA[[#This Row],[VALOR FINAL]]</f>
        <v>0</v>
      </c>
    </row>
    <row r="759" spans="1:20" x14ac:dyDescent="0.2">
      <c r="A759" s="13"/>
      <c r="B759" s="14"/>
      <c r="C759" s="14"/>
      <c r="D759" s="14"/>
      <c r="E759" s="14"/>
      <c r="F759" s="14"/>
      <c r="G759" s="14"/>
      <c r="H759" s="14"/>
      <c r="I759" s="14"/>
      <c r="J759" s="14"/>
      <c r="K759" s="13"/>
      <c r="L759" s="13"/>
      <c r="M759" s="13"/>
      <c r="N759" s="13"/>
      <c r="O759" s="76"/>
      <c r="P759" s="81"/>
      <c r="Q759" s="123"/>
      <c r="R759" s="123"/>
      <c r="S759" s="123"/>
      <c r="T759" s="13">
        <f>LISTA[[#This Row],[TARIFA OUT ]]+LISTA[[#This Row],[TARIFA IN]]+LISTA[[#This Row],[VALOR FINAL]]</f>
        <v>0</v>
      </c>
    </row>
    <row r="760" spans="1:20" x14ac:dyDescent="0.2">
      <c r="A760" s="13"/>
      <c r="B760" s="14"/>
      <c r="C760" s="14"/>
      <c r="D760" s="14"/>
      <c r="E760" s="14"/>
      <c r="F760" s="14"/>
      <c r="G760" s="14"/>
      <c r="H760" s="14"/>
      <c r="I760" s="14"/>
      <c r="J760" s="14"/>
      <c r="K760" s="13"/>
      <c r="L760" s="13"/>
      <c r="M760" s="13"/>
      <c r="N760" s="13"/>
      <c r="O760" s="76"/>
      <c r="P760" s="81"/>
      <c r="Q760" s="123"/>
      <c r="R760" s="123"/>
      <c r="S760" s="123"/>
      <c r="T760" s="13">
        <f>LISTA[[#This Row],[TARIFA OUT ]]+LISTA[[#This Row],[TARIFA IN]]+LISTA[[#This Row],[VALOR FINAL]]</f>
        <v>0</v>
      </c>
    </row>
    <row r="761" spans="1:20" x14ac:dyDescent="0.2">
      <c r="A761" s="13"/>
      <c r="B761" s="14"/>
      <c r="C761" s="14"/>
      <c r="D761" s="14"/>
      <c r="E761" s="14"/>
      <c r="F761" s="14"/>
      <c r="G761" s="14"/>
      <c r="H761" s="14"/>
      <c r="I761" s="14"/>
      <c r="J761" s="14"/>
      <c r="K761" s="13"/>
      <c r="L761" s="13"/>
      <c r="M761" s="13"/>
      <c r="N761" s="13"/>
      <c r="O761" s="76"/>
      <c r="P761" s="81"/>
      <c r="Q761" s="123"/>
      <c r="R761" s="123"/>
      <c r="S761" s="123"/>
      <c r="T761" s="13">
        <f>LISTA[[#This Row],[TARIFA OUT ]]+LISTA[[#This Row],[TARIFA IN]]+LISTA[[#This Row],[VALOR FINAL]]</f>
        <v>0</v>
      </c>
    </row>
    <row r="762" spans="1:20" x14ac:dyDescent="0.2">
      <c r="A762" s="13"/>
      <c r="B762" s="14"/>
      <c r="C762" s="14"/>
      <c r="D762" s="14"/>
      <c r="E762" s="14"/>
      <c r="F762" s="14"/>
      <c r="G762" s="14"/>
      <c r="H762" s="14"/>
      <c r="I762" s="14"/>
      <c r="J762" s="14"/>
      <c r="K762" s="13"/>
      <c r="L762" s="13"/>
      <c r="M762" s="13"/>
      <c r="N762" s="13"/>
      <c r="O762" s="76"/>
      <c r="P762" s="81"/>
      <c r="Q762" s="123"/>
      <c r="R762" s="123"/>
      <c r="S762" s="123"/>
      <c r="T762" s="13">
        <f>LISTA[[#This Row],[TARIFA OUT ]]+LISTA[[#This Row],[TARIFA IN]]+LISTA[[#This Row],[VALOR FINAL]]</f>
        <v>0</v>
      </c>
    </row>
    <row r="763" spans="1:20" x14ac:dyDescent="0.2">
      <c r="A763" s="13"/>
      <c r="B763" s="14"/>
      <c r="C763" s="14"/>
      <c r="D763" s="14"/>
      <c r="E763" s="14"/>
      <c r="F763" s="14"/>
      <c r="G763" s="14"/>
      <c r="H763" s="14"/>
      <c r="I763" s="14"/>
      <c r="J763" s="14"/>
      <c r="K763" s="13"/>
      <c r="L763" s="13"/>
      <c r="M763" s="13"/>
      <c r="N763" s="13"/>
      <c r="O763" s="76"/>
      <c r="P763" s="81"/>
      <c r="Q763" s="123"/>
      <c r="R763" s="123"/>
      <c r="S763" s="123"/>
      <c r="T763" s="13">
        <f>LISTA[[#This Row],[TARIFA OUT ]]+LISTA[[#This Row],[TARIFA IN]]+LISTA[[#This Row],[VALOR FINAL]]</f>
        <v>0</v>
      </c>
    </row>
    <row r="764" spans="1:20" x14ac:dyDescent="0.2">
      <c r="A764" s="13"/>
      <c r="B764" s="14"/>
      <c r="C764" s="14"/>
      <c r="D764" s="14"/>
      <c r="E764" s="14"/>
      <c r="F764" s="14"/>
      <c r="G764" s="14"/>
      <c r="H764" s="14"/>
      <c r="I764" s="14"/>
      <c r="J764" s="14"/>
      <c r="K764" s="13"/>
      <c r="L764" s="13"/>
      <c r="M764" s="13"/>
      <c r="N764" s="13"/>
      <c r="O764" s="76"/>
      <c r="P764" s="81"/>
      <c r="Q764" s="123"/>
      <c r="R764" s="123"/>
      <c r="S764" s="123"/>
      <c r="T764" s="13">
        <f>LISTA[[#This Row],[TARIFA OUT ]]+LISTA[[#This Row],[TARIFA IN]]+LISTA[[#This Row],[VALOR FINAL]]</f>
        <v>0</v>
      </c>
    </row>
    <row r="765" spans="1:20" x14ac:dyDescent="0.2">
      <c r="A765" s="13"/>
      <c r="B765" s="14"/>
      <c r="C765" s="14"/>
      <c r="D765" s="14"/>
      <c r="E765" s="14"/>
      <c r="F765" s="14"/>
      <c r="G765" s="14"/>
      <c r="H765" s="14"/>
      <c r="I765" s="14"/>
      <c r="J765" s="14"/>
      <c r="K765" s="13"/>
      <c r="L765" s="13"/>
      <c r="M765" s="13"/>
      <c r="N765" s="13"/>
      <c r="O765" s="76"/>
      <c r="P765" s="81"/>
      <c r="Q765" s="123"/>
      <c r="R765" s="123"/>
      <c r="S765" s="123"/>
      <c r="T765" s="13">
        <f>LISTA[[#This Row],[TARIFA OUT ]]+LISTA[[#This Row],[TARIFA IN]]+LISTA[[#This Row],[VALOR FINAL]]</f>
        <v>0</v>
      </c>
    </row>
    <row r="766" spans="1:20" x14ac:dyDescent="0.2">
      <c r="A766" s="13"/>
      <c r="B766" s="14"/>
      <c r="C766" s="14"/>
      <c r="D766" s="14"/>
      <c r="E766" s="14"/>
      <c r="F766" s="14"/>
      <c r="G766" s="14"/>
      <c r="H766" s="14"/>
      <c r="I766" s="14"/>
      <c r="J766" s="14"/>
      <c r="K766" s="13"/>
      <c r="L766" s="13"/>
      <c r="M766" s="13"/>
      <c r="N766" s="13"/>
      <c r="O766" s="76"/>
      <c r="P766" s="81"/>
      <c r="Q766" s="123"/>
      <c r="R766" s="123"/>
      <c r="S766" s="123"/>
      <c r="T766" s="13">
        <f>LISTA[[#This Row],[TARIFA OUT ]]+LISTA[[#This Row],[TARIFA IN]]+LISTA[[#This Row],[VALOR FINAL]]</f>
        <v>0</v>
      </c>
    </row>
    <row r="767" spans="1:20" x14ac:dyDescent="0.2">
      <c r="A767" s="13"/>
      <c r="B767" s="14"/>
      <c r="C767" s="14"/>
      <c r="D767" s="14"/>
      <c r="E767" s="14"/>
      <c r="F767" s="14"/>
      <c r="G767" s="14"/>
      <c r="H767" s="14"/>
      <c r="I767" s="14"/>
      <c r="J767" s="14"/>
      <c r="K767" s="13"/>
      <c r="L767" s="13"/>
      <c r="M767" s="13"/>
      <c r="N767" s="13"/>
      <c r="O767" s="76"/>
      <c r="P767" s="81"/>
      <c r="Q767" s="123"/>
      <c r="R767" s="123"/>
      <c r="S767" s="123"/>
      <c r="T767" s="13">
        <f>LISTA[[#This Row],[TARIFA OUT ]]+LISTA[[#This Row],[TARIFA IN]]+LISTA[[#This Row],[VALOR FINAL]]</f>
        <v>0</v>
      </c>
    </row>
    <row r="768" spans="1:20" x14ac:dyDescent="0.2">
      <c r="A768" s="13"/>
      <c r="B768" s="14"/>
      <c r="C768" s="14"/>
      <c r="D768" s="14"/>
      <c r="E768" s="14"/>
      <c r="F768" s="14"/>
      <c r="G768" s="14"/>
      <c r="H768" s="14"/>
      <c r="I768" s="14"/>
      <c r="J768" s="14"/>
      <c r="K768" s="13"/>
      <c r="L768" s="13"/>
      <c r="M768" s="13"/>
      <c r="N768" s="13"/>
      <c r="O768" s="76"/>
      <c r="P768" s="81"/>
      <c r="Q768" s="123"/>
      <c r="R768" s="123"/>
      <c r="S768" s="123"/>
      <c r="T768" s="13">
        <f>LISTA[[#This Row],[TARIFA OUT ]]+LISTA[[#This Row],[TARIFA IN]]+LISTA[[#This Row],[VALOR FINAL]]</f>
        <v>0</v>
      </c>
    </row>
    <row r="769" spans="1:20" x14ac:dyDescent="0.2">
      <c r="A769" s="13"/>
      <c r="B769" s="14"/>
      <c r="C769" s="14"/>
      <c r="D769" s="14"/>
      <c r="E769" s="14"/>
      <c r="F769" s="14"/>
      <c r="G769" s="14"/>
      <c r="H769" s="14"/>
      <c r="I769" s="14"/>
      <c r="J769" s="14"/>
      <c r="K769" s="13"/>
      <c r="L769" s="13"/>
      <c r="M769" s="13"/>
      <c r="N769" s="13"/>
      <c r="O769" s="76"/>
      <c r="P769" s="81"/>
      <c r="Q769" s="123"/>
      <c r="R769" s="123"/>
      <c r="S769" s="123"/>
      <c r="T769" s="13">
        <f>LISTA[[#This Row],[TARIFA OUT ]]+LISTA[[#This Row],[TARIFA IN]]+LISTA[[#This Row],[VALOR FINAL]]</f>
        <v>0</v>
      </c>
    </row>
    <row r="770" spans="1:20" x14ac:dyDescent="0.2">
      <c r="A770" s="13"/>
      <c r="B770" s="14"/>
      <c r="C770" s="14"/>
      <c r="D770" s="14"/>
      <c r="E770" s="14"/>
      <c r="F770" s="14"/>
      <c r="G770" s="14"/>
      <c r="H770" s="14"/>
      <c r="I770" s="14"/>
      <c r="J770" s="14"/>
      <c r="K770" s="13"/>
      <c r="L770" s="13"/>
      <c r="M770" s="13"/>
      <c r="N770" s="13"/>
      <c r="O770" s="76"/>
      <c r="P770" s="81"/>
      <c r="Q770" s="123"/>
      <c r="R770" s="123"/>
      <c r="S770" s="123"/>
      <c r="T770" s="13">
        <f>LISTA[[#This Row],[TARIFA OUT ]]+LISTA[[#This Row],[TARIFA IN]]+LISTA[[#This Row],[VALOR FINAL]]</f>
        <v>0</v>
      </c>
    </row>
    <row r="771" spans="1:20" x14ac:dyDescent="0.2">
      <c r="A771" s="13"/>
      <c r="B771" s="14"/>
      <c r="C771" s="14"/>
      <c r="D771" s="14"/>
      <c r="E771" s="14"/>
      <c r="F771" s="14"/>
      <c r="G771" s="14"/>
      <c r="H771" s="14"/>
      <c r="I771" s="14"/>
      <c r="J771" s="14"/>
      <c r="K771" s="13"/>
      <c r="L771" s="13"/>
      <c r="M771" s="13"/>
      <c r="N771" s="13"/>
      <c r="O771" s="76"/>
      <c r="P771" s="81"/>
      <c r="Q771" s="123"/>
      <c r="R771" s="123"/>
      <c r="S771" s="123"/>
      <c r="T771" s="13">
        <f>LISTA[[#This Row],[TARIFA OUT ]]+LISTA[[#This Row],[TARIFA IN]]+LISTA[[#This Row],[VALOR FINAL]]</f>
        <v>0</v>
      </c>
    </row>
    <row r="772" spans="1:20" x14ac:dyDescent="0.2">
      <c r="A772" s="13"/>
      <c r="B772" s="14"/>
      <c r="C772" s="14"/>
      <c r="D772" s="14"/>
      <c r="E772" s="14"/>
      <c r="F772" s="14"/>
      <c r="G772" s="14"/>
      <c r="H772" s="14"/>
      <c r="I772" s="14"/>
      <c r="J772" s="14"/>
      <c r="K772" s="13"/>
      <c r="L772" s="13"/>
      <c r="M772" s="13"/>
      <c r="N772" s="13"/>
      <c r="O772" s="76"/>
      <c r="P772" s="81"/>
      <c r="Q772" s="123"/>
      <c r="R772" s="123"/>
      <c r="S772" s="123"/>
      <c r="T772" s="13">
        <f>LISTA[[#This Row],[TARIFA OUT ]]+LISTA[[#This Row],[TARIFA IN]]+LISTA[[#This Row],[VALOR FINAL]]</f>
        <v>0</v>
      </c>
    </row>
    <row r="773" spans="1:20" x14ac:dyDescent="0.2">
      <c r="A773" s="13"/>
      <c r="B773" s="14"/>
      <c r="C773" s="14"/>
      <c r="D773" s="14"/>
      <c r="E773" s="14"/>
      <c r="F773" s="14"/>
      <c r="G773" s="14"/>
      <c r="H773" s="14"/>
      <c r="I773" s="14"/>
      <c r="J773" s="14"/>
      <c r="K773" s="13"/>
      <c r="L773" s="13"/>
      <c r="M773" s="13"/>
      <c r="N773" s="13"/>
      <c r="O773" s="76"/>
      <c r="P773" s="81"/>
      <c r="Q773" s="123"/>
      <c r="R773" s="123"/>
      <c r="S773" s="123"/>
      <c r="T773" s="13">
        <f>LISTA[[#This Row],[TARIFA OUT ]]+LISTA[[#This Row],[TARIFA IN]]+LISTA[[#This Row],[VALOR FINAL]]</f>
        <v>0</v>
      </c>
    </row>
    <row r="774" spans="1:20" x14ac:dyDescent="0.2">
      <c r="A774" s="13"/>
      <c r="B774" s="14"/>
      <c r="C774" s="14"/>
      <c r="D774" s="14"/>
      <c r="E774" s="14"/>
      <c r="F774" s="14"/>
      <c r="G774" s="14"/>
      <c r="H774" s="14"/>
      <c r="I774" s="14"/>
      <c r="J774" s="14"/>
      <c r="K774" s="13"/>
      <c r="L774" s="13"/>
      <c r="M774" s="13"/>
      <c r="N774" s="13"/>
      <c r="O774" s="76"/>
      <c r="P774" s="81"/>
      <c r="Q774" s="123"/>
      <c r="R774" s="123"/>
      <c r="S774" s="123"/>
      <c r="T774" s="13">
        <f>LISTA[[#This Row],[TARIFA OUT ]]+LISTA[[#This Row],[TARIFA IN]]+LISTA[[#This Row],[VALOR FINAL]]</f>
        <v>0</v>
      </c>
    </row>
    <row r="775" spans="1:20" x14ac:dyDescent="0.2">
      <c r="A775" s="13"/>
      <c r="B775" s="14"/>
      <c r="C775" s="14"/>
      <c r="D775" s="14"/>
      <c r="E775" s="14"/>
      <c r="F775" s="14"/>
      <c r="G775" s="14"/>
      <c r="H775" s="14"/>
      <c r="I775" s="14"/>
      <c r="J775" s="14"/>
      <c r="K775" s="13"/>
      <c r="L775" s="13"/>
      <c r="M775" s="13"/>
      <c r="N775" s="13"/>
      <c r="O775" s="76"/>
      <c r="P775" s="81"/>
      <c r="Q775" s="123"/>
      <c r="R775" s="123"/>
      <c r="S775" s="123"/>
      <c r="T775" s="13">
        <f>LISTA[[#This Row],[TARIFA OUT ]]+LISTA[[#This Row],[TARIFA IN]]+LISTA[[#This Row],[VALOR FINAL]]</f>
        <v>0</v>
      </c>
    </row>
    <row r="776" spans="1:20" x14ac:dyDescent="0.2">
      <c r="A776" s="13"/>
      <c r="B776" s="14"/>
      <c r="C776" s="14"/>
      <c r="D776" s="14"/>
      <c r="E776" s="14"/>
      <c r="F776" s="14"/>
      <c r="G776" s="14"/>
      <c r="H776" s="14"/>
      <c r="I776" s="14"/>
      <c r="J776" s="14"/>
      <c r="K776" s="13"/>
      <c r="L776" s="13"/>
      <c r="M776" s="13"/>
      <c r="N776" s="13"/>
      <c r="O776" s="76"/>
      <c r="P776" s="81"/>
      <c r="Q776" s="123"/>
      <c r="R776" s="123"/>
      <c r="S776" s="123"/>
      <c r="T776" s="13">
        <f>LISTA[[#This Row],[TARIFA OUT ]]+LISTA[[#This Row],[TARIFA IN]]+LISTA[[#This Row],[VALOR FINAL]]</f>
        <v>0</v>
      </c>
    </row>
    <row r="777" spans="1:20" x14ac:dyDescent="0.2">
      <c r="A777" s="13"/>
      <c r="B777" s="14"/>
      <c r="C777" s="14"/>
      <c r="D777" s="14"/>
      <c r="E777" s="14"/>
      <c r="F777" s="14"/>
      <c r="G777" s="14"/>
      <c r="H777" s="14"/>
      <c r="I777" s="14"/>
      <c r="J777" s="14"/>
      <c r="K777" s="13"/>
      <c r="L777" s="13"/>
      <c r="M777" s="13"/>
      <c r="N777" s="13"/>
      <c r="O777" s="76"/>
      <c r="P777" s="81"/>
      <c r="Q777" s="123"/>
      <c r="R777" s="123"/>
      <c r="S777" s="123"/>
      <c r="T777" s="13">
        <f>LISTA[[#This Row],[TARIFA OUT ]]+LISTA[[#This Row],[TARIFA IN]]+LISTA[[#This Row],[VALOR FINAL]]</f>
        <v>0</v>
      </c>
    </row>
    <row r="778" spans="1:20" x14ac:dyDescent="0.2">
      <c r="A778" s="13"/>
      <c r="B778" s="14"/>
      <c r="C778" s="14"/>
      <c r="D778" s="14"/>
      <c r="E778" s="14"/>
      <c r="F778" s="14"/>
      <c r="G778" s="14"/>
      <c r="H778" s="14"/>
      <c r="I778" s="14"/>
      <c r="J778" s="14"/>
      <c r="K778" s="13"/>
      <c r="L778" s="13"/>
      <c r="M778" s="13"/>
      <c r="N778" s="13"/>
      <c r="O778" s="76"/>
      <c r="P778" s="81"/>
      <c r="Q778" s="123"/>
      <c r="R778" s="123"/>
      <c r="S778" s="123"/>
      <c r="T778" s="13">
        <f>LISTA[[#This Row],[TARIFA OUT ]]+LISTA[[#This Row],[TARIFA IN]]+LISTA[[#This Row],[VALOR FINAL]]</f>
        <v>0</v>
      </c>
    </row>
    <row r="779" spans="1:20" x14ac:dyDescent="0.2">
      <c r="A779" s="13"/>
      <c r="B779" s="14"/>
      <c r="C779" s="14"/>
      <c r="D779" s="14"/>
      <c r="E779" s="14"/>
      <c r="F779" s="14"/>
      <c r="G779" s="14"/>
      <c r="H779" s="14"/>
      <c r="I779" s="14"/>
      <c r="J779" s="14"/>
      <c r="K779" s="13"/>
      <c r="L779" s="13"/>
      <c r="M779" s="13"/>
      <c r="N779" s="13"/>
      <c r="O779" s="76"/>
      <c r="P779" s="81"/>
      <c r="Q779" s="123"/>
      <c r="R779" s="123"/>
      <c r="S779" s="123"/>
      <c r="T779" s="13">
        <f>LISTA[[#This Row],[TARIFA OUT ]]+LISTA[[#This Row],[TARIFA IN]]+LISTA[[#This Row],[VALOR FINAL]]</f>
        <v>0</v>
      </c>
    </row>
    <row r="780" spans="1:20" x14ac:dyDescent="0.2">
      <c r="A780" s="13"/>
      <c r="B780" s="14"/>
      <c r="C780" s="14"/>
      <c r="D780" s="14"/>
      <c r="E780" s="14"/>
      <c r="F780" s="14"/>
      <c r="G780" s="14"/>
      <c r="H780" s="14"/>
      <c r="I780" s="14"/>
      <c r="J780" s="14"/>
      <c r="K780" s="13"/>
      <c r="L780" s="13"/>
      <c r="M780" s="13"/>
      <c r="N780" s="13"/>
      <c r="O780" s="76"/>
      <c r="P780" s="81"/>
      <c r="Q780" s="123"/>
      <c r="R780" s="123"/>
      <c r="S780" s="123"/>
      <c r="T780" s="13">
        <f>LISTA[[#This Row],[TARIFA OUT ]]+LISTA[[#This Row],[TARIFA IN]]+LISTA[[#This Row],[VALOR FINAL]]</f>
        <v>0</v>
      </c>
    </row>
    <row r="781" spans="1:20" x14ac:dyDescent="0.2">
      <c r="A781" s="13"/>
      <c r="B781" s="14"/>
      <c r="C781" s="14"/>
      <c r="D781" s="14"/>
      <c r="E781" s="14"/>
      <c r="F781" s="14"/>
      <c r="G781" s="14"/>
      <c r="H781" s="14"/>
      <c r="I781" s="14"/>
      <c r="J781" s="14"/>
      <c r="K781" s="13"/>
      <c r="L781" s="13"/>
      <c r="M781" s="13"/>
      <c r="N781" s="13"/>
      <c r="O781" s="76"/>
      <c r="P781" s="81"/>
      <c r="Q781" s="123"/>
      <c r="R781" s="123"/>
      <c r="S781" s="123"/>
      <c r="T781" s="13">
        <f>LISTA[[#This Row],[TARIFA OUT ]]+LISTA[[#This Row],[TARIFA IN]]+LISTA[[#This Row],[VALOR FINAL]]</f>
        <v>0</v>
      </c>
    </row>
    <row r="782" spans="1:20" x14ac:dyDescent="0.2">
      <c r="A782" s="13"/>
      <c r="B782" s="14"/>
      <c r="C782" s="14"/>
      <c r="D782" s="14"/>
      <c r="E782" s="14"/>
      <c r="F782" s="14"/>
      <c r="G782" s="14"/>
      <c r="H782" s="14"/>
      <c r="I782" s="14"/>
      <c r="J782" s="14"/>
      <c r="K782" s="13"/>
      <c r="L782" s="13"/>
      <c r="M782" s="13"/>
      <c r="N782" s="13"/>
      <c r="O782" s="76"/>
      <c r="P782" s="81"/>
      <c r="Q782" s="123"/>
      <c r="R782" s="123"/>
      <c r="S782" s="123"/>
      <c r="T782" s="13">
        <f>LISTA[[#This Row],[TARIFA OUT ]]+LISTA[[#This Row],[TARIFA IN]]+LISTA[[#This Row],[VALOR FINAL]]</f>
        <v>0</v>
      </c>
    </row>
    <row r="783" spans="1:20" x14ac:dyDescent="0.2">
      <c r="A783" s="13"/>
      <c r="B783" s="14"/>
      <c r="C783" s="14"/>
      <c r="D783" s="14"/>
      <c r="E783" s="14"/>
      <c r="F783" s="14"/>
      <c r="G783" s="14"/>
      <c r="H783" s="14"/>
      <c r="I783" s="14"/>
      <c r="J783" s="14"/>
      <c r="K783" s="13"/>
      <c r="L783" s="13"/>
      <c r="M783" s="13"/>
      <c r="N783" s="13"/>
      <c r="O783" s="76"/>
      <c r="P783" s="81"/>
      <c r="Q783" s="123"/>
      <c r="R783" s="123"/>
      <c r="S783" s="123"/>
      <c r="T783" s="13">
        <f>LISTA[[#This Row],[TARIFA OUT ]]+LISTA[[#This Row],[TARIFA IN]]+LISTA[[#This Row],[VALOR FINAL]]</f>
        <v>0</v>
      </c>
    </row>
    <row r="784" spans="1:20" x14ac:dyDescent="0.2">
      <c r="A784" s="13"/>
      <c r="B784" s="14"/>
      <c r="C784" s="14"/>
      <c r="D784" s="14"/>
      <c r="E784" s="14"/>
      <c r="F784" s="14"/>
      <c r="G784" s="14"/>
      <c r="H784" s="14"/>
      <c r="I784" s="14"/>
      <c r="J784" s="14"/>
      <c r="K784" s="13"/>
      <c r="L784" s="13"/>
      <c r="M784" s="13"/>
      <c r="N784" s="13"/>
      <c r="O784" s="76"/>
      <c r="P784" s="81"/>
      <c r="Q784" s="123"/>
      <c r="R784" s="123"/>
      <c r="S784" s="123"/>
      <c r="T784" s="13">
        <f>LISTA[[#This Row],[TARIFA OUT ]]+LISTA[[#This Row],[TARIFA IN]]+LISTA[[#This Row],[VALOR FINAL]]</f>
        <v>0</v>
      </c>
    </row>
    <row r="785" spans="1:20" x14ac:dyDescent="0.2">
      <c r="A785" s="13"/>
      <c r="B785" s="14"/>
      <c r="C785" s="14"/>
      <c r="D785" s="14"/>
      <c r="E785" s="14"/>
      <c r="F785" s="14"/>
      <c r="G785" s="14"/>
      <c r="H785" s="14"/>
      <c r="I785" s="14"/>
      <c r="J785" s="14"/>
      <c r="K785" s="13"/>
      <c r="L785" s="13"/>
      <c r="M785" s="13"/>
      <c r="N785" s="13"/>
      <c r="O785" s="76"/>
      <c r="P785" s="81"/>
      <c r="Q785" s="123"/>
      <c r="R785" s="123"/>
      <c r="S785" s="123"/>
      <c r="T785" s="13">
        <f>LISTA[[#This Row],[TARIFA OUT ]]+LISTA[[#This Row],[TARIFA IN]]+LISTA[[#This Row],[VALOR FINAL]]</f>
        <v>0</v>
      </c>
    </row>
    <row r="786" spans="1:20" x14ac:dyDescent="0.2">
      <c r="A786" s="13"/>
      <c r="B786" s="14"/>
      <c r="C786" s="14"/>
      <c r="D786" s="14"/>
      <c r="E786" s="14"/>
      <c r="F786" s="14"/>
      <c r="G786" s="14"/>
      <c r="H786" s="14"/>
      <c r="I786" s="14"/>
      <c r="J786" s="14"/>
      <c r="K786" s="13"/>
      <c r="L786" s="13"/>
      <c r="M786" s="13"/>
      <c r="N786" s="13"/>
      <c r="O786" s="76"/>
      <c r="P786" s="81"/>
      <c r="Q786" s="123"/>
      <c r="R786" s="123"/>
      <c r="S786" s="123"/>
      <c r="T786" s="13">
        <f>LISTA[[#This Row],[TARIFA OUT ]]+LISTA[[#This Row],[TARIFA IN]]+LISTA[[#This Row],[VALOR FINAL]]</f>
        <v>0</v>
      </c>
    </row>
    <row r="787" spans="1:20" x14ac:dyDescent="0.2">
      <c r="A787" s="13"/>
      <c r="B787" s="14"/>
      <c r="C787" s="14"/>
      <c r="D787" s="14"/>
      <c r="E787" s="14"/>
      <c r="F787" s="14"/>
      <c r="G787" s="14"/>
      <c r="H787" s="14"/>
      <c r="I787" s="14"/>
      <c r="J787" s="14"/>
      <c r="K787" s="13"/>
      <c r="L787" s="13"/>
      <c r="M787" s="13"/>
      <c r="N787" s="13"/>
      <c r="O787" s="76"/>
      <c r="P787" s="81"/>
      <c r="Q787" s="123"/>
      <c r="R787" s="123"/>
      <c r="S787" s="123"/>
      <c r="T787" s="13">
        <f>LISTA[[#This Row],[TARIFA OUT ]]+LISTA[[#This Row],[TARIFA IN]]+LISTA[[#This Row],[VALOR FINAL]]</f>
        <v>0</v>
      </c>
    </row>
    <row r="788" spans="1:20" x14ac:dyDescent="0.2">
      <c r="A788" s="13"/>
      <c r="B788" s="14"/>
      <c r="C788" s="14"/>
      <c r="D788" s="14"/>
      <c r="E788" s="14"/>
      <c r="F788" s="14"/>
      <c r="G788" s="14"/>
      <c r="H788" s="14"/>
      <c r="I788" s="14"/>
      <c r="J788" s="14"/>
      <c r="K788" s="13"/>
      <c r="L788" s="13"/>
      <c r="M788" s="13"/>
      <c r="N788" s="13"/>
      <c r="O788" s="76"/>
      <c r="P788" s="81"/>
      <c r="Q788" s="123"/>
      <c r="R788" s="123"/>
      <c r="S788" s="123"/>
      <c r="T788" s="13">
        <f>LISTA[[#This Row],[TARIFA OUT ]]+LISTA[[#This Row],[TARIFA IN]]+LISTA[[#This Row],[VALOR FINAL]]</f>
        <v>0</v>
      </c>
    </row>
    <row r="789" spans="1:20" x14ac:dyDescent="0.2">
      <c r="A789" s="13"/>
      <c r="B789" s="14"/>
      <c r="C789" s="14"/>
      <c r="D789" s="14"/>
      <c r="E789" s="14"/>
      <c r="F789" s="14"/>
      <c r="G789" s="14"/>
      <c r="H789" s="14"/>
      <c r="I789" s="14"/>
      <c r="J789" s="14"/>
      <c r="K789" s="13"/>
      <c r="L789" s="13"/>
      <c r="M789" s="13"/>
      <c r="N789" s="13"/>
      <c r="O789" s="76"/>
      <c r="P789" s="81"/>
      <c r="Q789" s="123"/>
      <c r="R789" s="123"/>
      <c r="S789" s="123"/>
      <c r="T789" s="13">
        <f>LISTA[[#This Row],[TARIFA OUT ]]+LISTA[[#This Row],[TARIFA IN]]+LISTA[[#This Row],[VALOR FINAL]]</f>
        <v>0</v>
      </c>
    </row>
    <row r="790" spans="1:20" x14ac:dyDescent="0.2">
      <c r="A790" s="13"/>
      <c r="B790" s="14"/>
      <c r="C790" s="14"/>
      <c r="D790" s="14"/>
      <c r="E790" s="14"/>
      <c r="F790" s="14"/>
      <c r="G790" s="14"/>
      <c r="H790" s="14"/>
      <c r="I790" s="14"/>
      <c r="J790" s="14"/>
      <c r="K790" s="13"/>
      <c r="L790" s="13"/>
      <c r="M790" s="13"/>
      <c r="N790" s="13"/>
      <c r="O790" s="76"/>
      <c r="P790" s="81"/>
      <c r="Q790" s="123"/>
      <c r="R790" s="123"/>
      <c r="S790" s="123"/>
      <c r="T790" s="13">
        <f>LISTA[[#This Row],[TARIFA OUT ]]+LISTA[[#This Row],[TARIFA IN]]+LISTA[[#This Row],[VALOR FINAL]]</f>
        <v>0</v>
      </c>
    </row>
    <row r="791" spans="1:20" x14ac:dyDescent="0.2">
      <c r="A791" s="13"/>
      <c r="B791" s="14"/>
      <c r="C791" s="14"/>
      <c r="D791" s="14"/>
      <c r="E791" s="14"/>
      <c r="F791" s="14"/>
      <c r="G791" s="14"/>
      <c r="H791" s="14"/>
      <c r="I791" s="14"/>
      <c r="J791" s="14"/>
      <c r="K791" s="13"/>
      <c r="L791" s="13"/>
      <c r="M791" s="13"/>
      <c r="N791" s="13"/>
      <c r="O791" s="76"/>
      <c r="P791" s="81"/>
      <c r="Q791" s="123"/>
      <c r="R791" s="123"/>
      <c r="S791" s="123"/>
      <c r="T791" s="13">
        <f>LISTA[[#This Row],[TARIFA OUT ]]+LISTA[[#This Row],[TARIFA IN]]+LISTA[[#This Row],[VALOR FINAL]]</f>
        <v>0</v>
      </c>
    </row>
    <row r="792" spans="1:20" x14ac:dyDescent="0.2">
      <c r="A792" s="13"/>
      <c r="B792" s="14"/>
      <c r="C792" s="14"/>
      <c r="D792" s="14"/>
      <c r="E792" s="14"/>
      <c r="F792" s="14"/>
      <c r="G792" s="14"/>
      <c r="H792" s="14"/>
      <c r="I792" s="14"/>
      <c r="J792" s="14"/>
      <c r="K792" s="13"/>
      <c r="L792" s="13"/>
      <c r="M792" s="13"/>
      <c r="N792" s="13"/>
      <c r="O792" s="76"/>
      <c r="P792" s="81"/>
      <c r="Q792" s="123"/>
      <c r="R792" s="123"/>
      <c r="S792" s="123"/>
      <c r="T792" s="13">
        <f>LISTA[[#This Row],[TARIFA OUT ]]+LISTA[[#This Row],[TARIFA IN]]+LISTA[[#This Row],[VALOR FINAL]]</f>
        <v>0</v>
      </c>
    </row>
    <row r="793" spans="1:20" x14ac:dyDescent="0.2">
      <c r="A793" s="13"/>
      <c r="B793" s="14"/>
      <c r="C793" s="14"/>
      <c r="D793" s="14"/>
      <c r="E793" s="14"/>
      <c r="F793" s="14"/>
      <c r="G793" s="14"/>
      <c r="H793" s="14"/>
      <c r="I793" s="14"/>
      <c r="J793" s="14"/>
      <c r="K793" s="13"/>
      <c r="L793" s="13"/>
      <c r="M793" s="13"/>
      <c r="N793" s="13"/>
      <c r="O793" s="76"/>
      <c r="P793" s="81"/>
      <c r="Q793" s="123"/>
      <c r="R793" s="123"/>
      <c r="S793" s="123"/>
      <c r="T793" s="13">
        <f>LISTA[[#This Row],[TARIFA OUT ]]+LISTA[[#This Row],[TARIFA IN]]+LISTA[[#This Row],[VALOR FINAL]]</f>
        <v>0</v>
      </c>
    </row>
    <row r="794" spans="1:20" x14ac:dyDescent="0.2">
      <c r="A794" s="13"/>
      <c r="B794" s="14"/>
      <c r="C794" s="14"/>
      <c r="D794" s="14"/>
      <c r="E794" s="14"/>
      <c r="F794" s="14"/>
      <c r="G794" s="14"/>
      <c r="H794" s="14"/>
      <c r="I794" s="14"/>
      <c r="J794" s="14"/>
      <c r="K794" s="13"/>
      <c r="L794" s="13"/>
      <c r="M794" s="13"/>
      <c r="N794" s="13"/>
      <c r="O794" s="76"/>
      <c r="P794" s="81"/>
      <c r="Q794" s="123"/>
      <c r="R794" s="123"/>
      <c r="S794" s="123"/>
      <c r="T794" s="13">
        <f>LISTA[[#This Row],[TARIFA OUT ]]+LISTA[[#This Row],[TARIFA IN]]+LISTA[[#This Row],[VALOR FINAL]]</f>
        <v>0</v>
      </c>
    </row>
    <row r="795" spans="1:20" x14ac:dyDescent="0.2">
      <c r="A795" s="13"/>
      <c r="B795" s="14"/>
      <c r="C795" s="14"/>
      <c r="D795" s="14"/>
      <c r="E795" s="14"/>
      <c r="F795" s="14"/>
      <c r="G795" s="14"/>
      <c r="H795" s="14"/>
      <c r="I795" s="14"/>
      <c r="J795" s="14"/>
      <c r="K795" s="13"/>
      <c r="L795" s="13"/>
      <c r="M795" s="13"/>
      <c r="N795" s="13"/>
      <c r="O795" s="76"/>
      <c r="P795" s="81"/>
      <c r="Q795" s="123"/>
      <c r="R795" s="123"/>
      <c r="S795" s="123"/>
      <c r="T795" s="13">
        <f>LISTA[[#This Row],[TARIFA OUT ]]+LISTA[[#This Row],[TARIFA IN]]+LISTA[[#This Row],[VALOR FINAL]]</f>
        <v>0</v>
      </c>
    </row>
    <row r="796" spans="1:20" x14ac:dyDescent="0.2">
      <c r="A796" s="13"/>
      <c r="B796" s="14"/>
      <c r="C796" s="14"/>
      <c r="D796" s="14"/>
      <c r="E796" s="14"/>
      <c r="F796" s="14"/>
      <c r="G796" s="14"/>
      <c r="H796" s="14"/>
      <c r="I796" s="14"/>
      <c r="J796" s="14"/>
      <c r="K796" s="13"/>
      <c r="L796" s="13"/>
      <c r="M796" s="13"/>
      <c r="N796" s="13"/>
      <c r="O796" s="76"/>
      <c r="P796" s="81"/>
      <c r="Q796" s="123"/>
      <c r="R796" s="123"/>
      <c r="S796" s="123"/>
      <c r="T796" s="13">
        <f>LISTA[[#This Row],[TARIFA OUT ]]+LISTA[[#This Row],[TARIFA IN]]+LISTA[[#This Row],[VALOR FINAL]]</f>
        <v>0</v>
      </c>
    </row>
    <row r="797" spans="1:20" x14ac:dyDescent="0.2">
      <c r="A797" s="13"/>
      <c r="B797" s="14"/>
      <c r="C797" s="14"/>
      <c r="D797" s="14"/>
      <c r="E797" s="14"/>
      <c r="F797" s="14"/>
      <c r="G797" s="14"/>
      <c r="H797" s="14"/>
      <c r="I797" s="14"/>
      <c r="J797" s="14"/>
      <c r="K797" s="13"/>
      <c r="L797" s="13"/>
      <c r="M797" s="13"/>
      <c r="N797" s="13"/>
      <c r="O797" s="76"/>
      <c r="P797" s="81"/>
      <c r="Q797" s="123"/>
      <c r="R797" s="123"/>
      <c r="S797" s="123"/>
      <c r="T797" s="13">
        <f>LISTA[[#This Row],[TARIFA OUT ]]+LISTA[[#This Row],[TARIFA IN]]+LISTA[[#This Row],[VALOR FINAL]]</f>
        <v>0</v>
      </c>
    </row>
    <row r="798" spans="1:20" x14ac:dyDescent="0.2">
      <c r="A798" s="13"/>
      <c r="B798" s="14"/>
      <c r="C798" s="14"/>
      <c r="D798" s="14"/>
      <c r="E798" s="14"/>
      <c r="F798" s="14"/>
      <c r="G798" s="14"/>
      <c r="H798" s="14"/>
      <c r="I798" s="14"/>
      <c r="J798" s="14"/>
      <c r="K798" s="13"/>
      <c r="L798" s="13"/>
      <c r="M798" s="13"/>
      <c r="N798" s="13"/>
      <c r="O798" s="76"/>
      <c r="P798" s="81"/>
      <c r="Q798" s="123"/>
      <c r="R798" s="123"/>
      <c r="S798" s="123"/>
      <c r="T798" s="13">
        <f>LISTA[[#This Row],[TARIFA OUT ]]+LISTA[[#This Row],[TARIFA IN]]+LISTA[[#This Row],[VALOR FINAL]]</f>
        <v>0</v>
      </c>
    </row>
    <row r="799" spans="1:20" x14ac:dyDescent="0.2">
      <c r="A799" s="13"/>
      <c r="B799" s="14"/>
      <c r="C799" s="14"/>
      <c r="D799" s="14"/>
      <c r="E799" s="14"/>
      <c r="F799" s="14"/>
      <c r="G799" s="14"/>
      <c r="H799" s="14"/>
      <c r="I799" s="14"/>
      <c r="J799" s="14"/>
      <c r="K799" s="13"/>
      <c r="L799" s="13"/>
      <c r="M799" s="13"/>
      <c r="N799" s="13"/>
      <c r="O799" s="76"/>
      <c r="P799" s="81"/>
      <c r="Q799" s="123"/>
      <c r="R799" s="123"/>
      <c r="S799" s="123"/>
      <c r="T799" s="13">
        <f>LISTA[[#This Row],[TARIFA OUT ]]+LISTA[[#This Row],[TARIFA IN]]+LISTA[[#This Row],[VALOR FINAL]]</f>
        <v>0</v>
      </c>
    </row>
    <row r="800" spans="1:20" x14ac:dyDescent="0.2">
      <c r="A800" s="13"/>
      <c r="B800" s="14"/>
      <c r="C800" s="14"/>
      <c r="D800" s="14"/>
      <c r="E800" s="14"/>
      <c r="F800" s="14"/>
      <c r="G800" s="14"/>
      <c r="H800" s="14"/>
      <c r="I800" s="14"/>
      <c r="J800" s="14"/>
      <c r="K800" s="13"/>
      <c r="L800" s="13"/>
      <c r="M800" s="13"/>
      <c r="N800" s="13"/>
      <c r="O800" s="76"/>
      <c r="P800" s="81"/>
      <c r="Q800" s="123"/>
      <c r="R800" s="123"/>
      <c r="S800" s="123"/>
      <c r="T800" s="13">
        <f>LISTA[[#This Row],[TARIFA OUT ]]+LISTA[[#This Row],[TARIFA IN]]+LISTA[[#This Row],[VALOR FINAL]]</f>
        <v>0</v>
      </c>
    </row>
    <row r="801" spans="1:20" x14ac:dyDescent="0.2">
      <c r="A801" s="13"/>
      <c r="B801" s="14"/>
      <c r="C801" s="14"/>
      <c r="D801" s="14"/>
      <c r="E801" s="14"/>
      <c r="F801" s="14"/>
      <c r="G801" s="14"/>
      <c r="H801" s="14"/>
      <c r="I801" s="14"/>
      <c r="J801" s="14"/>
      <c r="K801" s="13"/>
      <c r="L801" s="13"/>
      <c r="M801" s="13"/>
      <c r="N801" s="13"/>
      <c r="O801" s="76"/>
      <c r="P801" s="81"/>
      <c r="Q801" s="123"/>
      <c r="R801" s="123"/>
      <c r="S801" s="123"/>
      <c r="T801" s="13">
        <f>LISTA[[#This Row],[TARIFA OUT ]]+LISTA[[#This Row],[TARIFA IN]]+LISTA[[#This Row],[VALOR FINAL]]</f>
        <v>0</v>
      </c>
    </row>
    <row r="802" spans="1:20" x14ac:dyDescent="0.2">
      <c r="A802" s="13"/>
      <c r="B802" s="14"/>
      <c r="C802" s="14"/>
      <c r="D802" s="14"/>
      <c r="E802" s="14"/>
      <c r="F802" s="14"/>
      <c r="G802" s="14"/>
      <c r="H802" s="14"/>
      <c r="I802" s="14"/>
      <c r="J802" s="14"/>
      <c r="K802" s="13"/>
      <c r="L802" s="13"/>
      <c r="M802" s="13"/>
      <c r="N802" s="13"/>
      <c r="O802" s="76"/>
      <c r="P802" s="81"/>
      <c r="Q802" s="123"/>
      <c r="R802" s="123"/>
      <c r="S802" s="123"/>
      <c r="T802" s="13">
        <f>LISTA[[#This Row],[TARIFA OUT ]]+LISTA[[#This Row],[TARIFA IN]]+LISTA[[#This Row],[VALOR FINAL]]</f>
        <v>0</v>
      </c>
    </row>
    <row r="803" spans="1:20" x14ac:dyDescent="0.2">
      <c r="A803" s="13"/>
      <c r="B803" s="14"/>
      <c r="C803" s="14"/>
      <c r="D803" s="14"/>
      <c r="E803" s="14"/>
      <c r="F803" s="14"/>
      <c r="G803" s="14"/>
      <c r="H803" s="14"/>
      <c r="I803" s="14"/>
      <c r="J803" s="14"/>
      <c r="K803" s="13"/>
      <c r="L803" s="13"/>
      <c r="M803" s="13"/>
      <c r="N803" s="13"/>
      <c r="O803" s="76"/>
      <c r="P803" s="81"/>
      <c r="Q803" s="123"/>
      <c r="R803" s="123"/>
      <c r="S803" s="123"/>
      <c r="T803" s="13">
        <f>LISTA[[#This Row],[TARIFA OUT ]]+LISTA[[#This Row],[TARIFA IN]]+LISTA[[#This Row],[VALOR FINAL]]</f>
        <v>0</v>
      </c>
    </row>
    <row r="804" spans="1:20" x14ac:dyDescent="0.2">
      <c r="A804" s="13"/>
      <c r="B804" s="14"/>
      <c r="C804" s="14"/>
      <c r="D804" s="14"/>
      <c r="E804" s="14"/>
      <c r="F804" s="14"/>
      <c r="G804" s="14"/>
      <c r="H804" s="14"/>
      <c r="I804" s="14"/>
      <c r="J804" s="14"/>
      <c r="K804" s="13"/>
      <c r="L804" s="13"/>
      <c r="M804" s="13"/>
      <c r="N804" s="13"/>
      <c r="O804" s="76"/>
      <c r="P804" s="81"/>
      <c r="Q804" s="123"/>
      <c r="R804" s="123"/>
      <c r="S804" s="123"/>
      <c r="T804" s="13">
        <f>LISTA[[#This Row],[TARIFA OUT ]]+LISTA[[#This Row],[TARIFA IN]]+LISTA[[#This Row],[VALOR FINAL]]</f>
        <v>0</v>
      </c>
    </row>
    <row r="805" spans="1:20" x14ac:dyDescent="0.2">
      <c r="A805" s="13"/>
      <c r="B805" s="14"/>
      <c r="C805" s="14"/>
      <c r="D805" s="14"/>
      <c r="E805" s="14"/>
      <c r="F805" s="14"/>
      <c r="G805" s="14"/>
      <c r="H805" s="14"/>
      <c r="I805" s="14"/>
      <c r="J805" s="14"/>
      <c r="K805" s="13"/>
      <c r="L805" s="13"/>
      <c r="M805" s="13"/>
      <c r="N805" s="13"/>
      <c r="O805" s="76"/>
      <c r="P805" s="81"/>
      <c r="Q805" s="123"/>
      <c r="R805" s="123"/>
      <c r="S805" s="123"/>
      <c r="T805" s="13">
        <f>LISTA[[#This Row],[TARIFA OUT ]]+LISTA[[#This Row],[TARIFA IN]]+LISTA[[#This Row],[VALOR FINAL]]</f>
        <v>0</v>
      </c>
    </row>
    <row r="806" spans="1:20" x14ac:dyDescent="0.2">
      <c r="A806" s="13"/>
      <c r="B806" s="14"/>
      <c r="C806" s="14"/>
      <c r="D806" s="14"/>
      <c r="E806" s="14"/>
      <c r="F806" s="14"/>
      <c r="G806" s="14"/>
      <c r="H806" s="14"/>
      <c r="I806" s="14"/>
      <c r="J806" s="14"/>
      <c r="K806" s="13"/>
      <c r="L806" s="13"/>
      <c r="M806" s="13"/>
      <c r="N806" s="13"/>
      <c r="O806" s="76"/>
      <c r="P806" s="81"/>
      <c r="Q806" s="123"/>
      <c r="R806" s="123"/>
      <c r="S806" s="123"/>
      <c r="T806" s="13">
        <f>LISTA[[#This Row],[TARIFA OUT ]]+LISTA[[#This Row],[TARIFA IN]]+LISTA[[#This Row],[VALOR FINAL]]</f>
        <v>0</v>
      </c>
    </row>
    <row r="807" spans="1:20" x14ac:dyDescent="0.2">
      <c r="A807" s="13"/>
      <c r="B807" s="14"/>
      <c r="C807" s="14"/>
      <c r="D807" s="14"/>
      <c r="E807" s="14"/>
      <c r="F807" s="14"/>
      <c r="G807" s="14"/>
      <c r="H807" s="14"/>
      <c r="I807" s="14"/>
      <c r="J807" s="14"/>
      <c r="K807" s="13"/>
      <c r="L807" s="13"/>
      <c r="M807" s="13"/>
      <c r="N807" s="13"/>
      <c r="O807" s="76"/>
      <c r="P807" s="81"/>
      <c r="Q807" s="123"/>
      <c r="R807" s="123"/>
      <c r="S807" s="123"/>
      <c r="T807" s="13">
        <f>LISTA[[#This Row],[TARIFA OUT ]]+LISTA[[#This Row],[TARIFA IN]]+LISTA[[#This Row],[VALOR FINAL]]</f>
        <v>0</v>
      </c>
    </row>
    <row r="808" spans="1:20" x14ac:dyDescent="0.2">
      <c r="A808" s="13"/>
      <c r="B808" s="14"/>
      <c r="C808" s="14"/>
      <c r="D808" s="14"/>
      <c r="E808" s="14"/>
      <c r="F808" s="14"/>
      <c r="G808" s="14"/>
      <c r="H808" s="14"/>
      <c r="I808" s="14"/>
      <c r="J808" s="14"/>
      <c r="K808" s="13"/>
      <c r="L808" s="13"/>
      <c r="M808" s="13"/>
      <c r="N808" s="13"/>
      <c r="O808" s="76"/>
      <c r="P808" s="81"/>
      <c r="Q808" s="123"/>
      <c r="R808" s="123"/>
      <c r="S808" s="123"/>
      <c r="T808" s="13">
        <f>LISTA[[#This Row],[TARIFA OUT ]]+LISTA[[#This Row],[TARIFA IN]]+LISTA[[#This Row],[VALOR FINAL]]</f>
        <v>0</v>
      </c>
    </row>
    <row r="809" spans="1:20" x14ac:dyDescent="0.2">
      <c r="A809" s="13"/>
      <c r="B809" s="14"/>
      <c r="C809" s="14"/>
      <c r="D809" s="14"/>
      <c r="E809" s="14"/>
      <c r="F809" s="14"/>
      <c r="G809" s="14"/>
      <c r="H809" s="14"/>
      <c r="I809" s="14"/>
      <c r="J809" s="14"/>
      <c r="K809" s="13"/>
      <c r="L809" s="13"/>
      <c r="M809" s="13"/>
      <c r="N809" s="13"/>
      <c r="O809" s="76"/>
      <c r="P809" s="81"/>
      <c r="Q809" s="123"/>
      <c r="R809" s="123"/>
      <c r="S809" s="123"/>
      <c r="T809" s="13">
        <f>LISTA[[#This Row],[TARIFA OUT ]]+LISTA[[#This Row],[TARIFA IN]]+LISTA[[#This Row],[VALOR FINAL]]</f>
        <v>0</v>
      </c>
    </row>
    <row r="810" spans="1:20" x14ac:dyDescent="0.2">
      <c r="A810" s="13"/>
      <c r="B810" s="14"/>
      <c r="C810" s="14"/>
      <c r="D810" s="14"/>
      <c r="E810" s="14"/>
      <c r="F810" s="14"/>
      <c r="G810" s="14"/>
      <c r="H810" s="14"/>
      <c r="I810" s="14"/>
      <c r="J810" s="14"/>
      <c r="K810" s="13"/>
      <c r="L810" s="13"/>
      <c r="M810" s="13"/>
      <c r="N810" s="13"/>
      <c r="O810" s="76"/>
      <c r="P810" s="81"/>
      <c r="Q810" s="123"/>
      <c r="R810" s="123"/>
      <c r="S810" s="123"/>
      <c r="T810" s="13">
        <f>LISTA[[#This Row],[TARIFA OUT ]]+LISTA[[#This Row],[TARIFA IN]]+LISTA[[#This Row],[VALOR FINAL]]</f>
        <v>0</v>
      </c>
    </row>
    <row r="811" spans="1:20" x14ac:dyDescent="0.2">
      <c r="A811" s="13"/>
      <c r="B811" s="14"/>
      <c r="C811" s="14"/>
      <c r="D811" s="14"/>
      <c r="E811" s="14"/>
      <c r="F811" s="14"/>
      <c r="G811" s="14"/>
      <c r="H811" s="14"/>
      <c r="I811" s="14"/>
      <c r="J811" s="14"/>
      <c r="K811" s="13"/>
      <c r="L811" s="13"/>
      <c r="M811" s="13"/>
      <c r="N811" s="13"/>
      <c r="O811" s="76"/>
      <c r="P811" s="81"/>
      <c r="Q811" s="123"/>
      <c r="R811" s="123"/>
      <c r="S811" s="123"/>
      <c r="T811" s="13">
        <f>LISTA[[#This Row],[TARIFA OUT ]]+LISTA[[#This Row],[TARIFA IN]]+LISTA[[#This Row],[VALOR FINAL]]</f>
        <v>0</v>
      </c>
    </row>
    <row r="812" spans="1:20" x14ac:dyDescent="0.2">
      <c r="A812" s="13"/>
      <c r="B812" s="14"/>
      <c r="C812" s="14"/>
      <c r="D812" s="14"/>
      <c r="E812" s="14"/>
      <c r="F812" s="14"/>
      <c r="G812" s="14"/>
      <c r="H812" s="14"/>
      <c r="I812" s="14"/>
      <c r="J812" s="14"/>
      <c r="K812" s="13"/>
      <c r="L812" s="13"/>
      <c r="M812" s="13"/>
      <c r="N812" s="13"/>
      <c r="O812" s="76"/>
      <c r="P812" s="81"/>
      <c r="Q812" s="123"/>
      <c r="R812" s="123"/>
      <c r="S812" s="123"/>
      <c r="T812" s="13">
        <f>LISTA[[#This Row],[TARIFA OUT ]]+LISTA[[#This Row],[TARIFA IN]]+LISTA[[#This Row],[VALOR FINAL]]</f>
        <v>0</v>
      </c>
    </row>
    <row r="813" spans="1:20" x14ac:dyDescent="0.2">
      <c r="A813" s="13"/>
      <c r="B813" s="14"/>
      <c r="C813" s="14"/>
      <c r="D813" s="14"/>
      <c r="E813" s="14"/>
      <c r="F813" s="14"/>
      <c r="G813" s="14"/>
      <c r="H813" s="14"/>
      <c r="I813" s="14"/>
      <c r="J813" s="14"/>
      <c r="K813" s="13"/>
      <c r="L813" s="13"/>
      <c r="M813" s="13"/>
      <c r="N813" s="13"/>
      <c r="O813" s="76"/>
      <c r="P813" s="81"/>
      <c r="Q813" s="123"/>
      <c r="R813" s="123"/>
      <c r="S813" s="123"/>
      <c r="T813" s="13">
        <f>LISTA[[#This Row],[TARIFA OUT ]]+LISTA[[#This Row],[TARIFA IN]]+LISTA[[#This Row],[VALOR FINAL]]</f>
        <v>0</v>
      </c>
    </row>
    <row r="814" spans="1:20" x14ac:dyDescent="0.2">
      <c r="A814" s="13"/>
      <c r="B814" s="14"/>
      <c r="C814" s="14"/>
      <c r="D814" s="14"/>
      <c r="E814" s="14"/>
      <c r="F814" s="14"/>
      <c r="G814" s="14"/>
      <c r="H814" s="14"/>
      <c r="I814" s="14"/>
      <c r="J814" s="14"/>
      <c r="K814" s="13"/>
      <c r="L814" s="13"/>
      <c r="M814" s="13"/>
      <c r="N814" s="13"/>
      <c r="O814" s="76"/>
      <c r="P814" s="81"/>
      <c r="Q814" s="123"/>
      <c r="R814" s="123"/>
      <c r="S814" s="123"/>
      <c r="T814" s="13">
        <f>LISTA[[#This Row],[TARIFA OUT ]]+LISTA[[#This Row],[TARIFA IN]]+LISTA[[#This Row],[VALOR FINAL]]</f>
        <v>0</v>
      </c>
    </row>
    <row r="815" spans="1:20" x14ac:dyDescent="0.2">
      <c r="A815" s="13"/>
      <c r="B815" s="14"/>
      <c r="C815" s="14"/>
      <c r="D815" s="14"/>
      <c r="E815" s="14"/>
      <c r="F815" s="14"/>
      <c r="G815" s="14"/>
      <c r="H815" s="14"/>
      <c r="I815" s="14"/>
      <c r="J815" s="14"/>
      <c r="K815" s="13"/>
      <c r="L815" s="13"/>
      <c r="M815" s="13"/>
      <c r="N815" s="13"/>
      <c r="O815" s="76"/>
      <c r="P815" s="81"/>
      <c r="Q815" s="123"/>
      <c r="R815" s="123"/>
      <c r="S815" s="123"/>
      <c r="T815" s="13">
        <f>LISTA[[#This Row],[TARIFA OUT ]]+LISTA[[#This Row],[TARIFA IN]]+LISTA[[#This Row],[VALOR FINAL]]</f>
        <v>0</v>
      </c>
    </row>
    <row r="816" spans="1:20" x14ac:dyDescent="0.2">
      <c r="A816" s="13"/>
      <c r="B816" s="14"/>
      <c r="C816" s="14"/>
      <c r="D816" s="14"/>
      <c r="E816" s="14"/>
      <c r="F816" s="14"/>
      <c r="G816" s="14"/>
      <c r="H816" s="14"/>
      <c r="I816" s="14"/>
      <c r="J816" s="14"/>
      <c r="K816" s="13"/>
      <c r="L816" s="13"/>
      <c r="M816" s="13"/>
      <c r="N816" s="13"/>
      <c r="O816" s="76"/>
      <c r="P816" s="81"/>
      <c r="Q816" s="123"/>
      <c r="R816" s="123"/>
      <c r="S816" s="123"/>
      <c r="T816" s="13">
        <f>LISTA[[#This Row],[TARIFA OUT ]]+LISTA[[#This Row],[TARIFA IN]]+LISTA[[#This Row],[VALOR FINAL]]</f>
        <v>0</v>
      </c>
    </row>
    <row r="817" spans="1:20" x14ac:dyDescent="0.2">
      <c r="A817" s="13"/>
      <c r="B817" s="14"/>
      <c r="C817" s="14"/>
      <c r="D817" s="14"/>
      <c r="E817" s="14"/>
      <c r="F817" s="14"/>
      <c r="G817" s="14"/>
      <c r="H817" s="14"/>
      <c r="I817" s="14"/>
      <c r="J817" s="14"/>
      <c r="K817" s="13"/>
      <c r="L817" s="13"/>
      <c r="M817" s="13"/>
      <c r="N817" s="13"/>
      <c r="O817" s="76"/>
      <c r="P817" s="81"/>
      <c r="Q817" s="123"/>
      <c r="R817" s="123"/>
      <c r="S817" s="123"/>
      <c r="T817" s="13">
        <f>LISTA[[#This Row],[TARIFA OUT ]]+LISTA[[#This Row],[TARIFA IN]]+LISTA[[#This Row],[VALOR FINAL]]</f>
        <v>0</v>
      </c>
    </row>
    <row r="818" spans="1:20" x14ac:dyDescent="0.2">
      <c r="A818" s="13"/>
      <c r="B818" s="14"/>
      <c r="C818" s="14"/>
      <c r="D818" s="14"/>
      <c r="E818" s="14"/>
      <c r="F818" s="14"/>
      <c r="G818" s="14"/>
      <c r="H818" s="14"/>
      <c r="I818" s="14"/>
      <c r="J818" s="14"/>
      <c r="K818" s="13"/>
      <c r="L818" s="13"/>
      <c r="M818" s="13"/>
      <c r="N818" s="13"/>
      <c r="O818" s="76"/>
      <c r="P818" s="81"/>
      <c r="Q818" s="123"/>
      <c r="R818" s="123"/>
      <c r="S818" s="123"/>
      <c r="T818" s="13">
        <f>LISTA[[#This Row],[TARIFA OUT ]]+LISTA[[#This Row],[TARIFA IN]]+LISTA[[#This Row],[VALOR FINAL]]</f>
        <v>0</v>
      </c>
    </row>
    <row r="819" spans="1:20" x14ac:dyDescent="0.2">
      <c r="A819" s="13"/>
      <c r="B819" s="14"/>
      <c r="C819" s="14"/>
      <c r="D819" s="14"/>
      <c r="E819" s="14"/>
      <c r="F819" s="14"/>
      <c r="G819" s="14"/>
      <c r="H819" s="14"/>
      <c r="I819" s="14"/>
      <c r="J819" s="14"/>
      <c r="K819" s="13"/>
      <c r="L819" s="13"/>
      <c r="M819" s="13"/>
      <c r="N819" s="13"/>
      <c r="O819" s="76"/>
      <c r="P819" s="81"/>
      <c r="Q819" s="123"/>
      <c r="R819" s="123"/>
      <c r="S819" s="123"/>
      <c r="T819" s="13">
        <f>LISTA[[#This Row],[TARIFA OUT ]]+LISTA[[#This Row],[TARIFA IN]]+LISTA[[#This Row],[VALOR FINAL]]</f>
        <v>0</v>
      </c>
    </row>
    <row r="820" spans="1:20" x14ac:dyDescent="0.2">
      <c r="A820" s="13"/>
      <c r="B820" s="14"/>
      <c r="C820" s="14"/>
      <c r="D820" s="14"/>
      <c r="E820" s="14"/>
      <c r="F820" s="14"/>
      <c r="G820" s="14"/>
      <c r="H820" s="14"/>
      <c r="I820" s="14"/>
      <c r="J820" s="14"/>
      <c r="K820" s="13"/>
      <c r="L820" s="13"/>
      <c r="M820" s="13"/>
      <c r="N820" s="13"/>
      <c r="O820" s="76"/>
      <c r="P820" s="81"/>
      <c r="Q820" s="123"/>
      <c r="R820" s="123"/>
      <c r="S820" s="123"/>
      <c r="T820" s="13">
        <f>LISTA[[#This Row],[TARIFA OUT ]]+LISTA[[#This Row],[TARIFA IN]]+LISTA[[#This Row],[VALOR FINAL]]</f>
        <v>0</v>
      </c>
    </row>
    <row r="821" spans="1:20" x14ac:dyDescent="0.2">
      <c r="A821" s="13"/>
      <c r="B821" s="14"/>
      <c r="C821" s="14"/>
      <c r="D821" s="14"/>
      <c r="E821" s="14"/>
      <c r="F821" s="14"/>
      <c r="G821" s="14"/>
      <c r="H821" s="14"/>
      <c r="I821" s="14"/>
      <c r="J821" s="14"/>
      <c r="K821" s="13"/>
      <c r="L821" s="13"/>
      <c r="M821" s="13"/>
      <c r="N821" s="13"/>
      <c r="O821" s="76"/>
      <c r="P821" s="81"/>
      <c r="Q821" s="123"/>
      <c r="R821" s="123"/>
      <c r="S821" s="123"/>
      <c r="T821" s="13">
        <f>LISTA[[#This Row],[TARIFA OUT ]]+LISTA[[#This Row],[TARIFA IN]]+LISTA[[#This Row],[VALOR FINAL]]</f>
        <v>0</v>
      </c>
    </row>
    <row r="822" spans="1:20" x14ac:dyDescent="0.2">
      <c r="A822" s="13"/>
      <c r="B822" s="14"/>
      <c r="C822" s="14"/>
      <c r="D822" s="14"/>
      <c r="E822" s="14"/>
      <c r="F822" s="14"/>
      <c r="G822" s="14"/>
      <c r="H822" s="14"/>
      <c r="I822" s="14"/>
      <c r="J822" s="14"/>
      <c r="K822" s="13"/>
      <c r="L822" s="13"/>
      <c r="M822" s="13"/>
      <c r="N822" s="13"/>
      <c r="O822" s="76"/>
      <c r="P822" s="81"/>
      <c r="Q822" s="123"/>
      <c r="R822" s="123"/>
      <c r="S822" s="123"/>
      <c r="T822" s="13">
        <f>LISTA[[#This Row],[TARIFA OUT ]]+LISTA[[#This Row],[TARIFA IN]]+LISTA[[#This Row],[VALOR FINAL]]</f>
        <v>0</v>
      </c>
    </row>
    <row r="823" spans="1:20" x14ac:dyDescent="0.2">
      <c r="A823" s="13"/>
      <c r="B823" s="14"/>
      <c r="C823" s="14"/>
      <c r="D823" s="14"/>
      <c r="E823" s="14"/>
      <c r="F823" s="14"/>
      <c r="G823" s="14"/>
      <c r="H823" s="14"/>
      <c r="I823" s="14"/>
      <c r="J823" s="14"/>
      <c r="K823" s="13"/>
      <c r="L823" s="13"/>
      <c r="M823" s="13"/>
      <c r="N823" s="13"/>
      <c r="O823" s="76"/>
      <c r="P823" s="81"/>
      <c r="Q823" s="123"/>
      <c r="R823" s="123"/>
      <c r="S823" s="123"/>
      <c r="T823" s="13">
        <f>LISTA[[#This Row],[TARIFA OUT ]]+LISTA[[#This Row],[TARIFA IN]]+LISTA[[#This Row],[VALOR FINAL]]</f>
        <v>0</v>
      </c>
    </row>
    <row r="824" spans="1:20" x14ac:dyDescent="0.2">
      <c r="A824" s="13"/>
      <c r="B824" s="14"/>
      <c r="C824" s="14"/>
      <c r="D824" s="14"/>
      <c r="E824" s="14"/>
      <c r="F824" s="14"/>
      <c r="G824" s="14"/>
      <c r="H824" s="14"/>
      <c r="I824" s="14"/>
      <c r="J824" s="14"/>
      <c r="K824" s="13"/>
      <c r="L824" s="13"/>
      <c r="M824" s="13"/>
      <c r="N824" s="13"/>
      <c r="O824" s="76"/>
      <c r="P824" s="81"/>
      <c r="Q824" s="123"/>
      <c r="R824" s="123"/>
      <c r="S824" s="123"/>
      <c r="T824" s="13">
        <f>LISTA[[#This Row],[TARIFA OUT ]]+LISTA[[#This Row],[TARIFA IN]]+LISTA[[#This Row],[VALOR FINAL]]</f>
        <v>0</v>
      </c>
    </row>
    <row r="825" spans="1:20" x14ac:dyDescent="0.2">
      <c r="A825" s="13"/>
      <c r="B825" s="14"/>
      <c r="C825" s="14"/>
      <c r="D825" s="14"/>
      <c r="E825" s="14"/>
      <c r="F825" s="14"/>
      <c r="G825" s="14"/>
      <c r="H825" s="14"/>
      <c r="I825" s="14"/>
      <c r="J825" s="14"/>
      <c r="K825" s="13"/>
      <c r="L825" s="13"/>
      <c r="M825" s="13"/>
      <c r="N825" s="13"/>
      <c r="O825" s="76"/>
      <c r="P825" s="81"/>
      <c r="Q825" s="123"/>
      <c r="R825" s="123"/>
      <c r="S825" s="123"/>
      <c r="T825" s="13">
        <f>LISTA[[#This Row],[TARIFA OUT ]]+LISTA[[#This Row],[TARIFA IN]]+LISTA[[#This Row],[VALOR FINAL]]</f>
        <v>0</v>
      </c>
    </row>
    <row r="826" spans="1:20" x14ac:dyDescent="0.2">
      <c r="A826" s="13"/>
      <c r="B826" s="14"/>
      <c r="C826" s="14"/>
      <c r="D826" s="14"/>
      <c r="E826" s="14"/>
      <c r="F826" s="14"/>
      <c r="G826" s="14"/>
      <c r="H826" s="14"/>
      <c r="I826" s="14"/>
      <c r="J826" s="14"/>
      <c r="K826" s="13"/>
      <c r="L826" s="13"/>
      <c r="M826" s="13"/>
      <c r="N826" s="13"/>
      <c r="O826" s="76"/>
      <c r="P826" s="81"/>
      <c r="Q826" s="123"/>
      <c r="R826" s="123"/>
      <c r="S826" s="123"/>
      <c r="T826" s="13">
        <f>LISTA[[#This Row],[TARIFA OUT ]]+LISTA[[#This Row],[TARIFA IN]]+LISTA[[#This Row],[VALOR FINAL]]</f>
        <v>0</v>
      </c>
    </row>
    <row r="827" spans="1:20" x14ac:dyDescent="0.2">
      <c r="A827" s="13"/>
      <c r="B827" s="14"/>
      <c r="C827" s="14"/>
      <c r="D827" s="14"/>
      <c r="E827" s="14"/>
      <c r="F827" s="14"/>
      <c r="G827" s="14"/>
      <c r="H827" s="14"/>
      <c r="I827" s="14"/>
      <c r="J827" s="14"/>
      <c r="K827" s="13"/>
      <c r="L827" s="13"/>
      <c r="M827" s="13"/>
      <c r="N827" s="13"/>
      <c r="O827" s="76"/>
      <c r="P827" s="81"/>
      <c r="Q827" s="123"/>
      <c r="R827" s="123"/>
      <c r="S827" s="123"/>
      <c r="T827" s="13">
        <f>LISTA[[#This Row],[TARIFA OUT ]]+LISTA[[#This Row],[TARIFA IN]]+LISTA[[#This Row],[VALOR FINAL]]</f>
        <v>0</v>
      </c>
    </row>
    <row r="828" spans="1:20" x14ac:dyDescent="0.2">
      <c r="A828" s="13"/>
      <c r="B828" s="14"/>
      <c r="C828" s="14"/>
      <c r="D828" s="14"/>
      <c r="E828" s="14"/>
      <c r="F828" s="14"/>
      <c r="G828" s="14"/>
      <c r="H828" s="14"/>
      <c r="I828" s="14"/>
      <c r="J828" s="14"/>
      <c r="K828" s="13"/>
      <c r="L828" s="13"/>
      <c r="M828" s="13"/>
      <c r="N828" s="13"/>
      <c r="O828" s="76"/>
      <c r="P828" s="81"/>
      <c r="Q828" s="123"/>
      <c r="R828" s="123"/>
      <c r="S828" s="123"/>
      <c r="T828" s="13">
        <f>LISTA[[#This Row],[TARIFA OUT ]]+LISTA[[#This Row],[TARIFA IN]]+LISTA[[#This Row],[VALOR FINAL]]</f>
        <v>0</v>
      </c>
    </row>
    <row r="829" spans="1:20" x14ac:dyDescent="0.2">
      <c r="A829" s="13"/>
      <c r="B829" s="14"/>
      <c r="C829" s="14"/>
      <c r="D829" s="14"/>
      <c r="E829" s="14"/>
      <c r="F829" s="14"/>
      <c r="G829" s="14"/>
      <c r="H829" s="14"/>
      <c r="I829" s="14"/>
      <c r="J829" s="14"/>
      <c r="K829" s="13"/>
      <c r="L829" s="13"/>
      <c r="M829" s="13"/>
      <c r="N829" s="13"/>
      <c r="O829" s="76"/>
      <c r="P829" s="81"/>
      <c r="Q829" s="123"/>
      <c r="R829" s="123"/>
      <c r="S829" s="123"/>
      <c r="T829" s="13">
        <f>LISTA[[#This Row],[TARIFA OUT ]]+LISTA[[#This Row],[TARIFA IN]]+LISTA[[#This Row],[VALOR FINAL]]</f>
        <v>0</v>
      </c>
    </row>
    <row r="830" spans="1:20" x14ac:dyDescent="0.2">
      <c r="A830" s="13"/>
      <c r="B830" s="14"/>
      <c r="C830" s="14"/>
      <c r="D830" s="14"/>
      <c r="E830" s="14"/>
      <c r="F830" s="14"/>
      <c r="G830" s="14"/>
      <c r="H830" s="14"/>
      <c r="I830" s="14"/>
      <c r="J830" s="14"/>
      <c r="K830" s="13"/>
      <c r="L830" s="13"/>
      <c r="M830" s="13"/>
      <c r="N830" s="13"/>
      <c r="O830" s="76"/>
      <c r="P830" s="81"/>
      <c r="Q830" s="123"/>
      <c r="R830" s="123"/>
      <c r="S830" s="123"/>
      <c r="T830" s="13">
        <f>LISTA[[#This Row],[TARIFA OUT ]]+LISTA[[#This Row],[TARIFA IN]]+LISTA[[#This Row],[VALOR FINAL]]</f>
        <v>0</v>
      </c>
    </row>
    <row r="831" spans="1:20" x14ac:dyDescent="0.2">
      <c r="A831" s="13"/>
      <c r="B831" s="14"/>
      <c r="C831" s="14"/>
      <c r="D831" s="14"/>
      <c r="E831" s="14"/>
      <c r="F831" s="14"/>
      <c r="G831" s="14"/>
      <c r="H831" s="14"/>
      <c r="I831" s="14"/>
      <c r="J831" s="14"/>
      <c r="K831" s="13"/>
      <c r="L831" s="13"/>
      <c r="M831" s="13"/>
      <c r="N831" s="13"/>
      <c r="O831" s="76"/>
      <c r="P831" s="81"/>
      <c r="Q831" s="123"/>
      <c r="R831" s="123"/>
      <c r="S831" s="123"/>
      <c r="T831" s="13">
        <f>LISTA[[#This Row],[TARIFA OUT ]]+LISTA[[#This Row],[TARIFA IN]]+LISTA[[#This Row],[VALOR FINAL]]</f>
        <v>0</v>
      </c>
    </row>
    <row r="832" spans="1:20" x14ac:dyDescent="0.2">
      <c r="A832" s="13"/>
      <c r="B832" s="14"/>
      <c r="C832" s="14"/>
      <c r="D832" s="14"/>
      <c r="E832" s="14"/>
      <c r="F832" s="14"/>
      <c r="G832" s="14"/>
      <c r="H832" s="14"/>
      <c r="I832" s="14"/>
      <c r="J832" s="14"/>
      <c r="K832" s="13"/>
      <c r="L832" s="13"/>
      <c r="M832" s="13"/>
      <c r="N832" s="13"/>
      <c r="O832" s="76"/>
      <c r="P832" s="81"/>
      <c r="Q832" s="123"/>
      <c r="R832" s="123"/>
      <c r="S832" s="123"/>
      <c r="T832" s="13">
        <f>LISTA[[#This Row],[TARIFA OUT ]]+LISTA[[#This Row],[TARIFA IN]]+LISTA[[#This Row],[VALOR FINAL]]</f>
        <v>0</v>
      </c>
    </row>
    <row r="833" spans="1:20" x14ac:dyDescent="0.2">
      <c r="A833" s="13"/>
      <c r="B833" s="14"/>
      <c r="C833" s="14"/>
      <c r="D833" s="14"/>
      <c r="E833" s="14"/>
      <c r="F833" s="14"/>
      <c r="G833" s="14"/>
      <c r="H833" s="14"/>
      <c r="I833" s="14"/>
      <c r="J833" s="14"/>
      <c r="K833" s="13"/>
      <c r="L833" s="13"/>
      <c r="M833" s="13"/>
      <c r="N833" s="13"/>
      <c r="O833" s="76"/>
      <c r="P833" s="81"/>
      <c r="Q833" s="123"/>
      <c r="R833" s="123"/>
      <c r="S833" s="123"/>
      <c r="T833" s="13">
        <f>LISTA[[#This Row],[TARIFA OUT ]]+LISTA[[#This Row],[TARIFA IN]]+LISTA[[#This Row],[VALOR FINAL]]</f>
        <v>0</v>
      </c>
    </row>
    <row r="834" spans="1:20" x14ac:dyDescent="0.2">
      <c r="A834" s="13"/>
      <c r="B834" s="14"/>
      <c r="C834" s="14"/>
      <c r="D834" s="14"/>
      <c r="E834" s="14"/>
      <c r="F834" s="14"/>
      <c r="G834" s="14"/>
      <c r="H834" s="14"/>
      <c r="I834" s="14"/>
      <c r="J834" s="14"/>
      <c r="K834" s="13"/>
      <c r="L834" s="13"/>
      <c r="M834" s="13"/>
      <c r="N834" s="13"/>
      <c r="O834" s="76"/>
      <c r="P834" s="81"/>
      <c r="Q834" s="123"/>
      <c r="R834" s="123"/>
      <c r="S834" s="123"/>
      <c r="T834" s="13">
        <f>LISTA[[#This Row],[TARIFA OUT ]]+LISTA[[#This Row],[TARIFA IN]]+LISTA[[#This Row],[VALOR FINAL]]</f>
        <v>0</v>
      </c>
    </row>
    <row r="835" spans="1:20" x14ac:dyDescent="0.2">
      <c r="A835" s="13"/>
      <c r="B835" s="14"/>
      <c r="C835" s="14"/>
      <c r="D835" s="14"/>
      <c r="E835" s="14"/>
      <c r="F835" s="14"/>
      <c r="G835" s="14"/>
      <c r="H835" s="14"/>
      <c r="I835" s="14"/>
      <c r="J835" s="14"/>
      <c r="K835" s="13"/>
      <c r="L835" s="13"/>
      <c r="M835" s="13"/>
      <c r="N835" s="13"/>
      <c r="O835" s="76"/>
      <c r="P835" s="81"/>
      <c r="Q835" s="123"/>
      <c r="R835" s="123"/>
      <c r="S835" s="123"/>
      <c r="T835" s="13">
        <f>LISTA[[#This Row],[TARIFA OUT ]]+LISTA[[#This Row],[TARIFA IN]]+LISTA[[#This Row],[VALOR FINAL]]</f>
        <v>0</v>
      </c>
    </row>
    <row r="836" spans="1:20" x14ac:dyDescent="0.2">
      <c r="A836" s="13"/>
      <c r="B836" s="14"/>
      <c r="C836" s="14"/>
      <c r="D836" s="14"/>
      <c r="E836" s="14"/>
      <c r="F836" s="14"/>
      <c r="G836" s="14"/>
      <c r="H836" s="14"/>
      <c r="I836" s="14"/>
      <c r="J836" s="14"/>
      <c r="K836" s="13"/>
      <c r="L836" s="13"/>
      <c r="M836" s="13"/>
      <c r="N836" s="13"/>
      <c r="O836" s="76"/>
      <c r="P836" s="81"/>
      <c r="Q836" s="123"/>
      <c r="R836" s="123"/>
      <c r="S836" s="123"/>
      <c r="T836" s="13">
        <f>LISTA[[#This Row],[TARIFA OUT ]]+LISTA[[#This Row],[TARIFA IN]]+LISTA[[#This Row],[VALOR FINAL]]</f>
        <v>0</v>
      </c>
    </row>
    <row r="837" spans="1:20" x14ac:dyDescent="0.2">
      <c r="A837" s="13"/>
      <c r="B837" s="14"/>
      <c r="C837" s="14"/>
      <c r="D837" s="14"/>
      <c r="E837" s="14"/>
      <c r="F837" s="14"/>
      <c r="G837" s="14"/>
      <c r="H837" s="14"/>
      <c r="I837" s="14"/>
      <c r="J837" s="14"/>
      <c r="K837" s="13"/>
      <c r="L837" s="13"/>
      <c r="M837" s="13"/>
      <c r="N837" s="13"/>
      <c r="O837" s="76"/>
      <c r="P837" s="81"/>
      <c r="Q837" s="123"/>
      <c r="R837" s="123"/>
      <c r="S837" s="123"/>
      <c r="T837" s="13">
        <f>LISTA[[#This Row],[TARIFA OUT ]]+LISTA[[#This Row],[TARIFA IN]]+LISTA[[#This Row],[VALOR FINAL]]</f>
        <v>0</v>
      </c>
    </row>
    <row r="838" spans="1:20" x14ac:dyDescent="0.2">
      <c r="A838" s="13"/>
      <c r="B838" s="14"/>
      <c r="C838" s="14"/>
      <c r="D838" s="14"/>
      <c r="E838" s="14"/>
      <c r="F838" s="14"/>
      <c r="G838" s="14"/>
      <c r="H838" s="14"/>
      <c r="I838" s="14"/>
      <c r="J838" s="14"/>
      <c r="K838" s="13"/>
      <c r="L838" s="13"/>
      <c r="M838" s="13"/>
      <c r="N838" s="13"/>
      <c r="O838" s="76"/>
      <c r="P838" s="81"/>
      <c r="Q838" s="123"/>
      <c r="R838" s="123"/>
      <c r="S838" s="123"/>
      <c r="T838" s="13">
        <f>LISTA[[#This Row],[TARIFA OUT ]]+LISTA[[#This Row],[TARIFA IN]]+LISTA[[#This Row],[VALOR FINAL]]</f>
        <v>0</v>
      </c>
    </row>
    <row r="839" spans="1:20" x14ac:dyDescent="0.2">
      <c r="A839" s="13"/>
      <c r="B839" s="14"/>
      <c r="C839" s="14"/>
      <c r="D839" s="14"/>
      <c r="E839" s="14"/>
      <c r="F839" s="14"/>
      <c r="G839" s="14"/>
      <c r="H839" s="14"/>
      <c r="I839" s="14"/>
      <c r="J839" s="14"/>
      <c r="K839" s="13"/>
      <c r="L839" s="13"/>
      <c r="M839" s="13"/>
      <c r="N839" s="13"/>
      <c r="O839" s="76"/>
      <c r="P839" s="81"/>
      <c r="Q839" s="123"/>
      <c r="R839" s="123"/>
      <c r="S839" s="123"/>
      <c r="T839" s="13">
        <f>LISTA[[#This Row],[TARIFA OUT ]]+LISTA[[#This Row],[TARIFA IN]]+LISTA[[#This Row],[VALOR FINAL]]</f>
        <v>0</v>
      </c>
    </row>
    <row r="840" spans="1:20" x14ac:dyDescent="0.2">
      <c r="A840" s="13"/>
      <c r="B840" s="14"/>
      <c r="C840" s="14"/>
      <c r="D840" s="14"/>
      <c r="E840" s="14"/>
      <c r="F840" s="14"/>
      <c r="G840" s="14"/>
      <c r="H840" s="14"/>
      <c r="I840" s="14"/>
      <c r="J840" s="14"/>
      <c r="K840" s="13"/>
      <c r="L840" s="13"/>
      <c r="M840" s="13"/>
      <c r="N840" s="13"/>
      <c r="O840" s="76"/>
      <c r="P840" s="81"/>
      <c r="Q840" s="123"/>
      <c r="R840" s="123"/>
      <c r="S840" s="123"/>
      <c r="T840" s="13">
        <f>LISTA[[#This Row],[TARIFA OUT ]]+LISTA[[#This Row],[TARIFA IN]]+LISTA[[#This Row],[VALOR FINAL]]</f>
        <v>0</v>
      </c>
    </row>
    <row r="841" spans="1:20" x14ac:dyDescent="0.2">
      <c r="A841" s="13"/>
      <c r="B841" s="14"/>
      <c r="C841" s="14"/>
      <c r="D841" s="14"/>
      <c r="E841" s="14"/>
      <c r="F841" s="14"/>
      <c r="G841" s="14"/>
      <c r="H841" s="14"/>
      <c r="I841" s="14"/>
      <c r="J841" s="14"/>
      <c r="K841" s="13"/>
      <c r="L841" s="13"/>
      <c r="M841" s="13"/>
      <c r="N841" s="13"/>
      <c r="O841" s="76"/>
      <c r="P841" s="81"/>
      <c r="Q841" s="123"/>
      <c r="R841" s="123"/>
      <c r="S841" s="123"/>
      <c r="T841" s="13">
        <f>LISTA[[#This Row],[TARIFA OUT ]]+LISTA[[#This Row],[TARIFA IN]]+LISTA[[#This Row],[VALOR FINAL]]</f>
        <v>0</v>
      </c>
    </row>
    <row r="842" spans="1:20" x14ac:dyDescent="0.2">
      <c r="A842" s="13"/>
      <c r="B842" s="14"/>
      <c r="C842" s="14"/>
      <c r="D842" s="14"/>
      <c r="E842" s="14"/>
      <c r="F842" s="14"/>
      <c r="G842" s="14"/>
      <c r="H842" s="14"/>
      <c r="I842" s="14"/>
      <c r="J842" s="14"/>
      <c r="K842" s="13"/>
      <c r="L842" s="13"/>
      <c r="M842" s="13"/>
      <c r="N842" s="13"/>
      <c r="O842" s="76"/>
      <c r="P842" s="81"/>
      <c r="Q842" s="123"/>
      <c r="R842" s="123"/>
      <c r="S842" s="123"/>
      <c r="T842" s="13">
        <f>LISTA[[#This Row],[TARIFA OUT ]]+LISTA[[#This Row],[TARIFA IN]]+LISTA[[#This Row],[VALOR FINAL]]</f>
        <v>0</v>
      </c>
    </row>
    <row r="843" spans="1:20" x14ac:dyDescent="0.2">
      <c r="A843" s="13"/>
      <c r="B843" s="14"/>
      <c r="C843" s="14"/>
      <c r="D843" s="14"/>
      <c r="E843" s="14"/>
      <c r="F843" s="14"/>
      <c r="G843" s="14"/>
      <c r="H843" s="14"/>
      <c r="I843" s="14"/>
      <c r="J843" s="14"/>
      <c r="K843" s="13"/>
      <c r="L843" s="13"/>
      <c r="M843" s="13"/>
      <c r="N843" s="13"/>
      <c r="O843" s="76"/>
      <c r="P843" s="81"/>
      <c r="Q843" s="123"/>
      <c r="R843" s="123"/>
      <c r="S843" s="123"/>
      <c r="T843" s="13">
        <f>LISTA[[#This Row],[TARIFA OUT ]]+LISTA[[#This Row],[TARIFA IN]]+LISTA[[#This Row],[VALOR FINAL]]</f>
        <v>0</v>
      </c>
    </row>
    <row r="844" spans="1:20" x14ac:dyDescent="0.2">
      <c r="A844" s="13"/>
      <c r="B844" s="14"/>
      <c r="C844" s="14"/>
      <c r="D844" s="14"/>
      <c r="E844" s="14"/>
      <c r="F844" s="14"/>
      <c r="G844" s="14"/>
      <c r="H844" s="14"/>
      <c r="I844" s="14"/>
      <c r="J844" s="14"/>
      <c r="K844" s="13"/>
      <c r="L844" s="13"/>
      <c r="M844" s="13"/>
      <c r="N844" s="13"/>
      <c r="O844" s="76"/>
      <c r="P844" s="81"/>
      <c r="Q844" s="123"/>
      <c r="R844" s="123"/>
      <c r="S844" s="123"/>
      <c r="T844" s="13">
        <f>LISTA[[#This Row],[TARIFA OUT ]]+LISTA[[#This Row],[TARIFA IN]]+LISTA[[#This Row],[VALOR FINAL]]</f>
        <v>0</v>
      </c>
    </row>
    <row r="845" spans="1:20" x14ac:dyDescent="0.2">
      <c r="A845" s="13"/>
      <c r="B845" s="14"/>
      <c r="C845" s="14"/>
      <c r="D845" s="14"/>
      <c r="E845" s="14"/>
      <c r="F845" s="14"/>
      <c r="G845" s="14"/>
      <c r="H845" s="14"/>
      <c r="I845" s="14"/>
      <c r="J845" s="14"/>
      <c r="K845" s="13"/>
      <c r="L845" s="13"/>
      <c r="M845" s="13"/>
      <c r="N845" s="13"/>
      <c r="O845" s="76"/>
      <c r="P845" s="81"/>
      <c r="Q845" s="123"/>
      <c r="R845" s="123"/>
      <c r="S845" s="123"/>
      <c r="T845" s="13">
        <f>LISTA[[#This Row],[TARIFA OUT ]]+LISTA[[#This Row],[TARIFA IN]]+LISTA[[#This Row],[VALOR FINAL]]</f>
        <v>0</v>
      </c>
    </row>
    <row r="846" spans="1:20" x14ac:dyDescent="0.2">
      <c r="A846" s="13"/>
      <c r="B846" s="14"/>
      <c r="C846" s="14"/>
      <c r="D846" s="14"/>
      <c r="E846" s="14"/>
      <c r="F846" s="14"/>
      <c r="G846" s="14"/>
      <c r="H846" s="14"/>
      <c r="I846" s="14"/>
      <c r="J846" s="14"/>
      <c r="K846" s="13"/>
      <c r="L846" s="13"/>
      <c r="M846" s="13"/>
      <c r="N846" s="13"/>
      <c r="O846" s="76"/>
      <c r="P846" s="81"/>
      <c r="Q846" s="123"/>
      <c r="R846" s="123"/>
      <c r="S846" s="123"/>
      <c r="T846" s="13">
        <f>LISTA[[#This Row],[TARIFA OUT ]]+LISTA[[#This Row],[TARIFA IN]]+LISTA[[#This Row],[VALOR FINAL]]</f>
        <v>0</v>
      </c>
    </row>
    <row r="847" spans="1:20" x14ac:dyDescent="0.2">
      <c r="A847" s="13"/>
      <c r="B847" s="14"/>
      <c r="C847" s="14"/>
      <c r="D847" s="14"/>
      <c r="E847" s="14"/>
      <c r="F847" s="14"/>
      <c r="G847" s="14"/>
      <c r="H847" s="14"/>
      <c r="I847" s="14"/>
      <c r="J847" s="14"/>
      <c r="K847" s="13"/>
      <c r="L847" s="13"/>
      <c r="M847" s="13"/>
      <c r="N847" s="13"/>
      <c r="O847" s="76"/>
      <c r="P847" s="81"/>
      <c r="Q847" s="123"/>
      <c r="R847" s="123"/>
      <c r="S847" s="123"/>
      <c r="T847" s="13">
        <f>LISTA[[#This Row],[TARIFA OUT ]]+LISTA[[#This Row],[TARIFA IN]]+LISTA[[#This Row],[VALOR FINAL]]</f>
        <v>0</v>
      </c>
    </row>
    <row r="848" spans="1:20" x14ac:dyDescent="0.2">
      <c r="A848" s="13"/>
      <c r="B848" s="14"/>
      <c r="C848" s="14"/>
      <c r="D848" s="14"/>
      <c r="E848" s="14"/>
      <c r="F848" s="14"/>
      <c r="G848" s="14"/>
      <c r="H848" s="14"/>
      <c r="I848" s="14"/>
      <c r="J848" s="14"/>
      <c r="K848" s="13"/>
      <c r="L848" s="13"/>
      <c r="M848" s="13"/>
      <c r="N848" s="13"/>
      <c r="O848" s="76"/>
      <c r="P848" s="81"/>
      <c r="Q848" s="123"/>
      <c r="R848" s="123"/>
      <c r="S848" s="123"/>
      <c r="T848" s="13">
        <f>LISTA[[#This Row],[TARIFA OUT ]]+LISTA[[#This Row],[TARIFA IN]]+LISTA[[#This Row],[VALOR FINAL]]</f>
        <v>0</v>
      </c>
    </row>
    <row r="849" spans="1:20" x14ac:dyDescent="0.2">
      <c r="A849" s="13"/>
      <c r="B849" s="14"/>
      <c r="C849" s="14"/>
      <c r="D849" s="14"/>
      <c r="E849" s="14"/>
      <c r="F849" s="14"/>
      <c r="G849" s="14"/>
      <c r="H849" s="14"/>
      <c r="I849" s="14"/>
      <c r="J849" s="14"/>
      <c r="K849" s="13"/>
      <c r="L849" s="13"/>
      <c r="M849" s="13"/>
      <c r="N849" s="13"/>
      <c r="O849" s="76"/>
      <c r="P849" s="81"/>
      <c r="Q849" s="123"/>
      <c r="R849" s="123"/>
      <c r="S849" s="123"/>
      <c r="T849" s="13">
        <f>LISTA[[#This Row],[TARIFA OUT ]]+LISTA[[#This Row],[TARIFA IN]]+LISTA[[#This Row],[VALOR FINAL]]</f>
        <v>0</v>
      </c>
    </row>
    <row r="850" spans="1:20" x14ac:dyDescent="0.2">
      <c r="A850" s="13"/>
      <c r="B850" s="14"/>
      <c r="C850" s="14"/>
      <c r="D850" s="14"/>
      <c r="E850" s="14"/>
      <c r="F850" s="14"/>
      <c r="G850" s="14"/>
      <c r="H850" s="14"/>
      <c r="I850" s="14"/>
      <c r="J850" s="14"/>
      <c r="K850" s="13"/>
      <c r="L850" s="13"/>
      <c r="M850" s="13"/>
      <c r="N850" s="13"/>
      <c r="O850" s="76"/>
      <c r="P850" s="81"/>
      <c r="Q850" s="123"/>
      <c r="R850" s="123"/>
      <c r="S850" s="123"/>
      <c r="T850" s="13">
        <f>LISTA[[#This Row],[TARIFA OUT ]]+LISTA[[#This Row],[TARIFA IN]]+LISTA[[#This Row],[VALOR FINAL]]</f>
        <v>0</v>
      </c>
    </row>
    <row r="851" spans="1:20" x14ac:dyDescent="0.2">
      <c r="A851" s="13"/>
      <c r="B851" s="14"/>
      <c r="C851" s="14"/>
      <c r="D851" s="14"/>
      <c r="E851" s="14"/>
      <c r="F851" s="14"/>
      <c r="G851" s="14"/>
      <c r="H851" s="14"/>
      <c r="I851" s="14"/>
      <c r="J851" s="14"/>
      <c r="K851" s="13"/>
      <c r="L851" s="13"/>
      <c r="M851" s="13"/>
      <c r="N851" s="13"/>
      <c r="O851" s="76"/>
      <c r="P851" s="81"/>
      <c r="Q851" s="123"/>
      <c r="R851" s="123"/>
      <c r="S851" s="123"/>
      <c r="T851" s="13">
        <f>LISTA[[#This Row],[TARIFA OUT ]]+LISTA[[#This Row],[TARIFA IN]]+LISTA[[#This Row],[VALOR FINAL]]</f>
        <v>0</v>
      </c>
    </row>
    <row r="852" spans="1:20" x14ac:dyDescent="0.2">
      <c r="A852" s="13"/>
      <c r="B852" s="14"/>
      <c r="C852" s="14"/>
      <c r="D852" s="14"/>
      <c r="E852" s="14"/>
      <c r="F852" s="14"/>
      <c r="G852" s="14"/>
      <c r="H852" s="14"/>
      <c r="I852" s="14"/>
      <c r="J852" s="14"/>
      <c r="K852" s="13"/>
      <c r="L852" s="13"/>
      <c r="M852" s="13"/>
      <c r="N852" s="13"/>
      <c r="O852" s="76"/>
      <c r="P852" s="81"/>
      <c r="Q852" s="123"/>
      <c r="R852" s="123"/>
      <c r="S852" s="123"/>
      <c r="T852" s="13">
        <f>LISTA[[#This Row],[TARIFA OUT ]]+LISTA[[#This Row],[TARIFA IN]]+LISTA[[#This Row],[VALOR FINAL]]</f>
        <v>0</v>
      </c>
    </row>
    <row r="853" spans="1:20" x14ac:dyDescent="0.2">
      <c r="A853" s="13"/>
      <c r="B853" s="14"/>
      <c r="C853" s="14"/>
      <c r="D853" s="14"/>
      <c r="E853" s="14"/>
      <c r="F853" s="14"/>
      <c r="G853" s="14"/>
      <c r="H853" s="14"/>
      <c r="I853" s="14"/>
      <c r="J853" s="14"/>
      <c r="K853" s="13"/>
      <c r="L853" s="13"/>
      <c r="M853" s="13"/>
      <c r="N853" s="13"/>
      <c r="O853" s="76"/>
      <c r="P853" s="81"/>
      <c r="Q853" s="123"/>
      <c r="R853" s="123"/>
      <c r="S853" s="123"/>
      <c r="T853" s="13">
        <f>LISTA[[#This Row],[TARIFA OUT ]]+LISTA[[#This Row],[TARIFA IN]]+LISTA[[#This Row],[VALOR FINAL]]</f>
        <v>0</v>
      </c>
    </row>
    <row r="854" spans="1:20" x14ac:dyDescent="0.2">
      <c r="A854" s="13"/>
      <c r="B854" s="14"/>
      <c r="C854" s="14"/>
      <c r="D854" s="14"/>
      <c r="E854" s="14"/>
      <c r="F854" s="14"/>
      <c r="G854" s="14"/>
      <c r="H854" s="14"/>
      <c r="I854" s="14"/>
      <c r="J854" s="14"/>
      <c r="K854" s="13"/>
      <c r="L854" s="13"/>
      <c r="M854" s="13"/>
      <c r="N854" s="13"/>
      <c r="O854" s="76"/>
      <c r="P854" s="81"/>
      <c r="Q854" s="123"/>
      <c r="R854" s="123"/>
      <c r="S854" s="123"/>
      <c r="T854" s="13">
        <f>LISTA[[#This Row],[TARIFA OUT ]]+LISTA[[#This Row],[TARIFA IN]]+LISTA[[#This Row],[VALOR FINAL]]</f>
        <v>0</v>
      </c>
    </row>
    <row r="855" spans="1:20" x14ac:dyDescent="0.2">
      <c r="A855" s="13"/>
      <c r="B855" s="14"/>
      <c r="C855" s="14"/>
      <c r="D855" s="14"/>
      <c r="E855" s="14"/>
      <c r="F855" s="14"/>
      <c r="G855" s="14"/>
      <c r="H855" s="14"/>
      <c r="I855" s="14"/>
      <c r="J855" s="14"/>
      <c r="K855" s="13"/>
      <c r="L855" s="13"/>
      <c r="M855" s="13"/>
      <c r="N855" s="13"/>
      <c r="O855" s="76"/>
      <c r="P855" s="81"/>
      <c r="Q855" s="123"/>
      <c r="R855" s="123"/>
      <c r="S855" s="123"/>
      <c r="T855" s="13">
        <f>LISTA[[#This Row],[TARIFA OUT ]]+LISTA[[#This Row],[TARIFA IN]]+LISTA[[#This Row],[VALOR FINAL]]</f>
        <v>0</v>
      </c>
    </row>
    <row r="856" spans="1:20" x14ac:dyDescent="0.2">
      <c r="A856" s="13"/>
      <c r="B856" s="14"/>
      <c r="C856" s="14"/>
      <c r="D856" s="14"/>
      <c r="E856" s="14"/>
      <c r="F856" s="14"/>
      <c r="G856" s="14"/>
      <c r="H856" s="14"/>
      <c r="I856" s="14"/>
      <c r="J856" s="14"/>
      <c r="K856" s="13"/>
      <c r="L856" s="13"/>
      <c r="M856" s="13"/>
      <c r="N856" s="13"/>
      <c r="O856" s="76"/>
      <c r="P856" s="81"/>
      <c r="Q856" s="123"/>
      <c r="R856" s="123"/>
      <c r="S856" s="123"/>
      <c r="T856" s="13">
        <f>LISTA[[#This Row],[TARIFA OUT ]]+LISTA[[#This Row],[TARIFA IN]]+LISTA[[#This Row],[VALOR FINAL]]</f>
        <v>0</v>
      </c>
    </row>
    <row r="857" spans="1:20" x14ac:dyDescent="0.2">
      <c r="A857" s="13"/>
      <c r="B857" s="14"/>
      <c r="C857" s="14"/>
      <c r="D857" s="14"/>
      <c r="E857" s="14"/>
      <c r="F857" s="14"/>
      <c r="G857" s="14"/>
      <c r="H857" s="14"/>
      <c r="I857" s="14"/>
      <c r="J857" s="14"/>
      <c r="K857" s="13"/>
      <c r="L857" s="13"/>
      <c r="M857" s="13"/>
      <c r="N857" s="13"/>
      <c r="O857" s="76"/>
      <c r="P857" s="81"/>
      <c r="Q857" s="123"/>
      <c r="R857" s="123"/>
      <c r="S857" s="123"/>
      <c r="T857" s="13">
        <f>LISTA[[#This Row],[TARIFA OUT ]]+LISTA[[#This Row],[TARIFA IN]]+LISTA[[#This Row],[VALOR FINAL]]</f>
        <v>0</v>
      </c>
    </row>
    <row r="858" spans="1:20" x14ac:dyDescent="0.2">
      <c r="A858" s="13"/>
      <c r="B858" s="14"/>
      <c r="C858" s="14"/>
      <c r="D858" s="14"/>
      <c r="E858" s="14"/>
      <c r="F858" s="14"/>
      <c r="G858" s="14"/>
      <c r="H858" s="14"/>
      <c r="I858" s="14"/>
      <c r="J858" s="14"/>
      <c r="K858" s="13"/>
      <c r="L858" s="13"/>
      <c r="M858" s="13"/>
      <c r="N858" s="13"/>
      <c r="O858" s="76"/>
      <c r="P858" s="81"/>
      <c r="Q858" s="123"/>
      <c r="R858" s="123"/>
      <c r="S858" s="123"/>
      <c r="T858" s="13">
        <f>LISTA[[#This Row],[TARIFA OUT ]]+LISTA[[#This Row],[TARIFA IN]]+LISTA[[#This Row],[VALOR FINAL]]</f>
        <v>0</v>
      </c>
    </row>
    <row r="859" spans="1:20" x14ac:dyDescent="0.2">
      <c r="A859" s="13"/>
      <c r="B859" s="14"/>
      <c r="C859" s="14"/>
      <c r="D859" s="14"/>
      <c r="E859" s="14"/>
      <c r="F859" s="14"/>
      <c r="G859" s="14"/>
      <c r="H859" s="14"/>
      <c r="I859" s="14"/>
      <c r="J859" s="14"/>
      <c r="K859" s="13"/>
      <c r="L859" s="13"/>
      <c r="M859" s="13"/>
      <c r="N859" s="13"/>
      <c r="O859" s="76"/>
      <c r="P859" s="81"/>
      <c r="Q859" s="123"/>
      <c r="R859" s="123"/>
      <c r="S859" s="123"/>
      <c r="T859" s="13">
        <f>LISTA[[#This Row],[TARIFA OUT ]]+LISTA[[#This Row],[TARIFA IN]]+LISTA[[#This Row],[VALOR FINAL]]</f>
        <v>0</v>
      </c>
    </row>
    <row r="860" spans="1:20" x14ac:dyDescent="0.2">
      <c r="A860" s="13"/>
      <c r="B860" s="14"/>
      <c r="C860" s="14"/>
      <c r="D860" s="14"/>
      <c r="E860" s="14"/>
      <c r="F860" s="14"/>
      <c r="G860" s="14"/>
      <c r="H860" s="14"/>
      <c r="I860" s="14"/>
      <c r="J860" s="14"/>
      <c r="K860" s="13"/>
      <c r="L860" s="13"/>
      <c r="M860" s="13"/>
      <c r="N860" s="13"/>
      <c r="O860" s="76"/>
      <c r="P860" s="81"/>
      <c r="Q860" s="123"/>
      <c r="R860" s="123"/>
      <c r="S860" s="123"/>
      <c r="T860" s="13">
        <f>LISTA[[#This Row],[TARIFA OUT ]]+LISTA[[#This Row],[TARIFA IN]]+LISTA[[#This Row],[VALOR FINAL]]</f>
        <v>0</v>
      </c>
    </row>
    <row r="861" spans="1:20" x14ac:dyDescent="0.2">
      <c r="A861" s="13"/>
      <c r="B861" s="14"/>
      <c r="C861" s="14"/>
      <c r="D861" s="14"/>
      <c r="E861" s="14"/>
      <c r="F861" s="14"/>
      <c r="G861" s="14"/>
      <c r="H861" s="14"/>
      <c r="I861" s="14"/>
      <c r="J861" s="14"/>
      <c r="K861" s="13"/>
      <c r="L861" s="13"/>
      <c r="M861" s="13"/>
      <c r="N861" s="13"/>
      <c r="O861" s="76"/>
      <c r="P861" s="81"/>
      <c r="Q861" s="123"/>
      <c r="R861" s="123"/>
      <c r="S861" s="123"/>
      <c r="T861" s="13">
        <f>LISTA[[#This Row],[TARIFA OUT ]]+LISTA[[#This Row],[TARIFA IN]]+LISTA[[#This Row],[VALOR FINAL]]</f>
        <v>0</v>
      </c>
    </row>
    <row r="862" spans="1:20" x14ac:dyDescent="0.2">
      <c r="A862" s="13"/>
      <c r="B862" s="14"/>
      <c r="C862" s="14"/>
      <c r="D862" s="14"/>
      <c r="E862" s="14"/>
      <c r="F862" s="14"/>
      <c r="G862" s="14"/>
      <c r="H862" s="14"/>
      <c r="I862" s="14"/>
      <c r="J862" s="14"/>
      <c r="K862" s="13"/>
      <c r="L862" s="13"/>
      <c r="M862" s="13"/>
      <c r="N862" s="13"/>
      <c r="O862" s="76"/>
      <c r="P862" s="81"/>
      <c r="Q862" s="123"/>
      <c r="R862" s="123"/>
      <c r="S862" s="123"/>
      <c r="T862" s="13">
        <f>LISTA[[#This Row],[TARIFA OUT ]]+LISTA[[#This Row],[TARIFA IN]]+LISTA[[#This Row],[VALOR FINAL]]</f>
        <v>0</v>
      </c>
    </row>
    <row r="863" spans="1:20" x14ac:dyDescent="0.2">
      <c r="A863" s="13"/>
      <c r="B863" s="14"/>
      <c r="C863" s="14"/>
      <c r="D863" s="14"/>
      <c r="E863" s="14"/>
      <c r="F863" s="14"/>
      <c r="G863" s="14"/>
      <c r="H863" s="14"/>
      <c r="I863" s="14"/>
      <c r="J863" s="14"/>
      <c r="K863" s="13"/>
      <c r="L863" s="13"/>
      <c r="M863" s="13"/>
      <c r="N863" s="13"/>
      <c r="O863" s="76"/>
      <c r="P863" s="81"/>
      <c r="Q863" s="123"/>
      <c r="R863" s="123"/>
      <c r="S863" s="123"/>
      <c r="T863" s="13">
        <f>LISTA[[#This Row],[TARIFA OUT ]]+LISTA[[#This Row],[TARIFA IN]]+LISTA[[#This Row],[VALOR FINAL]]</f>
        <v>0</v>
      </c>
    </row>
    <row r="864" spans="1:20" x14ac:dyDescent="0.2">
      <c r="A864" s="13"/>
      <c r="B864" s="14"/>
      <c r="C864" s="14"/>
      <c r="D864" s="14"/>
      <c r="E864" s="14"/>
      <c r="F864" s="14"/>
      <c r="G864" s="14"/>
      <c r="H864" s="14"/>
      <c r="I864" s="14"/>
      <c r="J864" s="14"/>
      <c r="K864" s="13"/>
      <c r="L864" s="13"/>
      <c r="M864" s="13"/>
      <c r="N864" s="13"/>
      <c r="O864" s="76"/>
      <c r="P864" s="81"/>
      <c r="Q864" s="123"/>
      <c r="R864" s="123"/>
      <c r="S864" s="123"/>
      <c r="T864" s="13">
        <f>LISTA[[#This Row],[TARIFA OUT ]]+LISTA[[#This Row],[TARIFA IN]]+LISTA[[#This Row],[VALOR FINAL]]</f>
        <v>0</v>
      </c>
    </row>
    <row r="865" spans="1:20" x14ac:dyDescent="0.2">
      <c r="A865" s="13"/>
      <c r="B865" s="14"/>
      <c r="C865" s="14"/>
      <c r="D865" s="14"/>
      <c r="E865" s="14"/>
      <c r="F865" s="14"/>
      <c r="G865" s="14"/>
      <c r="H865" s="14"/>
      <c r="I865" s="14"/>
      <c r="J865" s="14"/>
      <c r="K865" s="13"/>
      <c r="L865" s="13"/>
      <c r="M865" s="13"/>
      <c r="N865" s="13"/>
      <c r="O865" s="76"/>
      <c r="P865" s="81"/>
      <c r="Q865" s="123"/>
      <c r="R865" s="123"/>
      <c r="S865" s="123"/>
      <c r="T865" s="13">
        <f>LISTA[[#This Row],[TARIFA OUT ]]+LISTA[[#This Row],[TARIFA IN]]+LISTA[[#This Row],[VALOR FINAL]]</f>
        <v>0</v>
      </c>
    </row>
    <row r="866" spans="1:20" x14ac:dyDescent="0.2">
      <c r="A866" s="13"/>
      <c r="B866" s="14"/>
      <c r="C866" s="14"/>
      <c r="D866" s="14"/>
      <c r="E866" s="14"/>
      <c r="F866" s="14"/>
      <c r="G866" s="14"/>
      <c r="H866" s="14"/>
      <c r="I866" s="14"/>
      <c r="J866" s="14"/>
      <c r="K866" s="13"/>
      <c r="L866" s="13"/>
      <c r="M866" s="13"/>
      <c r="N866" s="13"/>
      <c r="O866" s="76"/>
      <c r="P866" s="81"/>
      <c r="Q866" s="123"/>
      <c r="R866" s="123"/>
      <c r="S866" s="123"/>
      <c r="T866" s="13">
        <f>LISTA[[#This Row],[TARIFA OUT ]]+LISTA[[#This Row],[TARIFA IN]]+LISTA[[#This Row],[VALOR FINAL]]</f>
        <v>0</v>
      </c>
    </row>
    <row r="867" spans="1:20" x14ac:dyDescent="0.2">
      <c r="A867" s="13"/>
      <c r="B867" s="14"/>
      <c r="C867" s="14"/>
      <c r="D867" s="14"/>
      <c r="E867" s="14"/>
      <c r="F867" s="14"/>
      <c r="G867" s="14"/>
      <c r="H867" s="14"/>
      <c r="I867" s="14"/>
      <c r="J867" s="14"/>
      <c r="K867" s="13"/>
      <c r="L867" s="13"/>
      <c r="M867" s="13"/>
      <c r="N867" s="13"/>
      <c r="O867" s="76"/>
      <c r="P867" s="81"/>
      <c r="Q867" s="123"/>
      <c r="R867" s="123"/>
      <c r="S867" s="123"/>
      <c r="T867" s="13">
        <f>LISTA[[#This Row],[TARIFA OUT ]]+LISTA[[#This Row],[TARIFA IN]]+LISTA[[#This Row],[VALOR FINAL]]</f>
        <v>0</v>
      </c>
    </row>
    <row r="868" spans="1:20" x14ac:dyDescent="0.2">
      <c r="A868" s="13"/>
      <c r="B868" s="14"/>
      <c r="C868" s="14"/>
      <c r="D868" s="14"/>
      <c r="E868" s="14"/>
      <c r="F868" s="14"/>
      <c r="G868" s="14"/>
      <c r="H868" s="14"/>
      <c r="I868" s="14"/>
      <c r="J868" s="14"/>
      <c r="K868" s="13"/>
      <c r="L868" s="13"/>
      <c r="M868" s="13"/>
      <c r="N868" s="13"/>
      <c r="O868" s="76"/>
      <c r="P868" s="81"/>
      <c r="Q868" s="123"/>
      <c r="R868" s="123"/>
      <c r="S868" s="123"/>
      <c r="T868" s="13">
        <f>LISTA[[#This Row],[TARIFA OUT ]]+LISTA[[#This Row],[TARIFA IN]]+LISTA[[#This Row],[VALOR FINAL]]</f>
        <v>0</v>
      </c>
    </row>
    <row r="869" spans="1:20" x14ac:dyDescent="0.2">
      <c r="A869" s="13"/>
      <c r="B869" s="14"/>
      <c r="C869" s="14"/>
      <c r="D869" s="14"/>
      <c r="E869" s="14"/>
      <c r="F869" s="14"/>
      <c r="G869" s="14"/>
      <c r="H869" s="14"/>
      <c r="I869" s="14"/>
      <c r="J869" s="14"/>
      <c r="K869" s="13"/>
      <c r="L869" s="13"/>
      <c r="M869" s="13"/>
      <c r="N869" s="13"/>
      <c r="O869" s="76"/>
      <c r="P869" s="81"/>
      <c r="Q869" s="123"/>
      <c r="R869" s="123"/>
      <c r="S869" s="123"/>
      <c r="T869" s="13">
        <f>LISTA[[#This Row],[TARIFA OUT ]]+LISTA[[#This Row],[TARIFA IN]]+LISTA[[#This Row],[VALOR FINAL]]</f>
        <v>0</v>
      </c>
    </row>
    <row r="870" spans="1:20" x14ac:dyDescent="0.2">
      <c r="A870" s="13"/>
      <c r="B870" s="14"/>
      <c r="C870" s="14"/>
      <c r="D870" s="14"/>
      <c r="E870" s="14"/>
      <c r="F870" s="14"/>
      <c r="G870" s="14"/>
      <c r="H870" s="14"/>
      <c r="I870" s="14"/>
      <c r="J870" s="14"/>
      <c r="K870" s="13"/>
      <c r="L870" s="13"/>
      <c r="M870" s="13"/>
      <c r="N870" s="13"/>
      <c r="O870" s="76"/>
      <c r="P870" s="81"/>
      <c r="Q870" s="123"/>
      <c r="R870" s="123"/>
      <c r="S870" s="123"/>
      <c r="T870" s="13">
        <f>LISTA[[#This Row],[TARIFA OUT ]]+LISTA[[#This Row],[TARIFA IN]]+LISTA[[#This Row],[VALOR FINAL]]</f>
        <v>0</v>
      </c>
    </row>
    <row r="871" spans="1:20" x14ac:dyDescent="0.2">
      <c r="A871" s="13"/>
      <c r="B871" s="14"/>
      <c r="C871" s="14"/>
      <c r="D871" s="14"/>
      <c r="E871" s="14"/>
      <c r="F871" s="14"/>
      <c r="G871" s="14"/>
      <c r="H871" s="14"/>
      <c r="I871" s="14"/>
      <c r="J871" s="14"/>
      <c r="K871" s="13"/>
      <c r="L871" s="13"/>
      <c r="M871" s="13"/>
      <c r="N871" s="13"/>
      <c r="O871" s="76"/>
      <c r="P871" s="81"/>
      <c r="Q871" s="123"/>
      <c r="R871" s="123"/>
      <c r="S871" s="123"/>
      <c r="T871" s="13">
        <f>LISTA[[#This Row],[TARIFA OUT ]]+LISTA[[#This Row],[TARIFA IN]]+LISTA[[#This Row],[VALOR FINAL]]</f>
        <v>0</v>
      </c>
    </row>
    <row r="872" spans="1:20" x14ac:dyDescent="0.2">
      <c r="A872" s="13"/>
      <c r="B872" s="14"/>
      <c r="C872" s="14"/>
      <c r="D872" s="14"/>
      <c r="E872" s="14"/>
      <c r="F872" s="14"/>
      <c r="G872" s="14"/>
      <c r="H872" s="14"/>
      <c r="I872" s="14"/>
      <c r="J872" s="14"/>
      <c r="K872" s="13"/>
      <c r="L872" s="13"/>
      <c r="M872" s="13"/>
      <c r="N872" s="13"/>
      <c r="O872" s="76"/>
      <c r="P872" s="81"/>
      <c r="Q872" s="123"/>
      <c r="R872" s="123"/>
      <c r="S872" s="123"/>
      <c r="T872" s="13">
        <f>LISTA[[#This Row],[TARIFA OUT ]]+LISTA[[#This Row],[TARIFA IN]]+LISTA[[#This Row],[VALOR FINAL]]</f>
        <v>0</v>
      </c>
    </row>
    <row r="873" spans="1:20" x14ac:dyDescent="0.2">
      <c r="A873" s="13"/>
      <c r="B873" s="14"/>
      <c r="C873" s="14"/>
      <c r="D873" s="14"/>
      <c r="E873" s="14"/>
      <c r="F873" s="14"/>
      <c r="G873" s="14"/>
      <c r="H873" s="14"/>
      <c r="I873" s="14"/>
      <c r="J873" s="14"/>
      <c r="K873" s="13"/>
      <c r="L873" s="13"/>
      <c r="M873" s="13"/>
      <c r="N873" s="13"/>
      <c r="O873" s="76"/>
      <c r="P873" s="81"/>
      <c r="Q873" s="123"/>
      <c r="R873" s="123"/>
      <c r="S873" s="123"/>
      <c r="T873" s="13">
        <f>LISTA[[#This Row],[TARIFA OUT ]]+LISTA[[#This Row],[TARIFA IN]]+LISTA[[#This Row],[VALOR FINAL]]</f>
        <v>0</v>
      </c>
    </row>
    <row r="874" spans="1:20" x14ac:dyDescent="0.2">
      <c r="A874" s="13"/>
      <c r="B874" s="14"/>
      <c r="C874" s="14"/>
      <c r="D874" s="14"/>
      <c r="E874" s="14"/>
      <c r="F874" s="14"/>
      <c r="G874" s="14"/>
      <c r="H874" s="14"/>
      <c r="I874" s="14"/>
      <c r="J874" s="14"/>
      <c r="K874" s="13"/>
      <c r="L874" s="13"/>
      <c r="M874" s="13"/>
      <c r="N874" s="13"/>
      <c r="O874" s="76"/>
      <c r="P874" s="81"/>
      <c r="Q874" s="123"/>
      <c r="R874" s="123"/>
      <c r="S874" s="123"/>
      <c r="T874" s="13">
        <f>LISTA[[#This Row],[TARIFA OUT ]]+LISTA[[#This Row],[TARIFA IN]]+LISTA[[#This Row],[VALOR FINAL]]</f>
        <v>0</v>
      </c>
    </row>
    <row r="875" spans="1:20" x14ac:dyDescent="0.2">
      <c r="A875" s="13"/>
      <c r="B875" s="14"/>
      <c r="C875" s="14"/>
      <c r="D875" s="14"/>
      <c r="E875" s="14"/>
      <c r="F875" s="14"/>
      <c r="G875" s="14"/>
      <c r="H875" s="14"/>
      <c r="I875" s="14"/>
      <c r="J875" s="14"/>
      <c r="K875" s="13"/>
      <c r="L875" s="13"/>
      <c r="M875" s="13"/>
      <c r="N875" s="13"/>
      <c r="O875" s="76"/>
      <c r="P875" s="81"/>
      <c r="Q875" s="123"/>
      <c r="R875" s="123"/>
      <c r="S875" s="123"/>
      <c r="T875" s="13">
        <f>LISTA[[#This Row],[TARIFA OUT ]]+LISTA[[#This Row],[TARIFA IN]]+LISTA[[#This Row],[VALOR FINAL]]</f>
        <v>0</v>
      </c>
    </row>
    <row r="876" spans="1:20" x14ac:dyDescent="0.2">
      <c r="A876" s="13"/>
      <c r="B876" s="14"/>
      <c r="C876" s="14"/>
      <c r="D876" s="14"/>
      <c r="E876" s="14"/>
      <c r="F876" s="14"/>
      <c r="G876" s="14"/>
      <c r="H876" s="14"/>
      <c r="I876" s="14"/>
      <c r="J876" s="14"/>
      <c r="K876" s="13"/>
      <c r="L876" s="13"/>
      <c r="M876" s="13"/>
      <c r="N876" s="13"/>
      <c r="O876" s="76"/>
      <c r="P876" s="81"/>
      <c r="Q876" s="123"/>
      <c r="R876" s="123"/>
      <c r="S876" s="123"/>
      <c r="T876" s="13">
        <f>LISTA[[#This Row],[TARIFA OUT ]]+LISTA[[#This Row],[TARIFA IN]]+LISTA[[#This Row],[VALOR FINAL]]</f>
        <v>0</v>
      </c>
    </row>
    <row r="877" spans="1:20" x14ac:dyDescent="0.2">
      <c r="A877" s="13"/>
      <c r="B877" s="14"/>
      <c r="C877" s="14"/>
      <c r="D877" s="14"/>
      <c r="E877" s="14"/>
      <c r="F877" s="14"/>
      <c r="G877" s="14"/>
      <c r="H877" s="14"/>
      <c r="I877" s="14"/>
      <c r="J877" s="14"/>
      <c r="K877" s="13"/>
      <c r="L877" s="13"/>
      <c r="M877" s="13"/>
      <c r="N877" s="13"/>
      <c r="O877" s="76"/>
      <c r="P877" s="81"/>
      <c r="Q877" s="123"/>
      <c r="R877" s="123"/>
      <c r="S877" s="123"/>
      <c r="T877" s="13">
        <f>LISTA[[#This Row],[TARIFA OUT ]]+LISTA[[#This Row],[TARIFA IN]]+LISTA[[#This Row],[VALOR FINAL]]</f>
        <v>0</v>
      </c>
    </row>
    <row r="878" spans="1:20" x14ac:dyDescent="0.2">
      <c r="A878" s="13"/>
      <c r="B878" s="14"/>
      <c r="C878" s="14"/>
      <c r="D878" s="14"/>
      <c r="E878" s="14"/>
      <c r="F878" s="14"/>
      <c r="G878" s="14"/>
      <c r="H878" s="14"/>
      <c r="I878" s="14"/>
      <c r="J878" s="14"/>
      <c r="K878" s="13"/>
      <c r="L878" s="13"/>
      <c r="M878" s="13"/>
      <c r="N878" s="13"/>
      <c r="O878" s="76"/>
      <c r="P878" s="81"/>
      <c r="Q878" s="123"/>
      <c r="R878" s="123"/>
      <c r="S878" s="123"/>
      <c r="T878" s="13">
        <f>LISTA[[#This Row],[TARIFA OUT ]]+LISTA[[#This Row],[TARIFA IN]]+LISTA[[#This Row],[VALOR FINAL]]</f>
        <v>0</v>
      </c>
    </row>
    <row r="879" spans="1:20" x14ac:dyDescent="0.2">
      <c r="A879" s="13"/>
      <c r="B879" s="14"/>
      <c r="C879" s="14"/>
      <c r="D879" s="14"/>
      <c r="E879" s="14"/>
      <c r="F879" s="14"/>
      <c r="G879" s="14"/>
      <c r="H879" s="14"/>
      <c r="I879" s="14"/>
      <c r="J879" s="14"/>
      <c r="K879" s="13"/>
      <c r="L879" s="13"/>
      <c r="M879" s="13"/>
      <c r="N879" s="13"/>
      <c r="O879" s="76"/>
      <c r="P879" s="81"/>
      <c r="Q879" s="123"/>
      <c r="R879" s="123"/>
      <c r="S879" s="123"/>
      <c r="T879" s="13">
        <f>LISTA[[#This Row],[TARIFA OUT ]]+LISTA[[#This Row],[TARIFA IN]]+LISTA[[#This Row],[VALOR FINAL]]</f>
        <v>0</v>
      </c>
    </row>
    <row r="880" spans="1:20" x14ac:dyDescent="0.2">
      <c r="A880" s="13"/>
      <c r="B880" s="14"/>
      <c r="C880" s="14"/>
      <c r="D880" s="14"/>
      <c r="E880" s="14"/>
      <c r="F880" s="14"/>
      <c r="G880" s="14"/>
      <c r="H880" s="14"/>
      <c r="I880" s="14"/>
      <c r="J880" s="14"/>
      <c r="K880" s="13"/>
      <c r="L880" s="13"/>
      <c r="M880" s="13"/>
      <c r="N880" s="13"/>
      <c r="O880" s="76"/>
      <c r="P880" s="81"/>
      <c r="Q880" s="123"/>
      <c r="R880" s="123"/>
      <c r="S880" s="123"/>
      <c r="T880" s="13">
        <f>LISTA[[#This Row],[TARIFA OUT ]]+LISTA[[#This Row],[TARIFA IN]]+LISTA[[#This Row],[VALOR FINAL]]</f>
        <v>0</v>
      </c>
    </row>
    <row r="881" spans="1:20" x14ac:dyDescent="0.2">
      <c r="A881" s="13"/>
      <c r="B881" s="14"/>
      <c r="C881" s="14"/>
      <c r="D881" s="14"/>
      <c r="E881" s="14"/>
      <c r="F881" s="14"/>
      <c r="G881" s="14"/>
      <c r="H881" s="14"/>
      <c r="I881" s="14"/>
      <c r="J881" s="14"/>
      <c r="K881" s="13"/>
      <c r="L881" s="13"/>
      <c r="M881" s="13"/>
      <c r="N881" s="13"/>
      <c r="O881" s="76"/>
      <c r="P881" s="81"/>
      <c r="Q881" s="123"/>
      <c r="R881" s="123"/>
      <c r="S881" s="123"/>
      <c r="T881" s="13">
        <f>LISTA[[#This Row],[TARIFA OUT ]]+LISTA[[#This Row],[TARIFA IN]]+LISTA[[#This Row],[VALOR FINAL]]</f>
        <v>0</v>
      </c>
    </row>
    <row r="882" spans="1:20" x14ac:dyDescent="0.2">
      <c r="A882" s="13"/>
      <c r="B882" s="14"/>
      <c r="C882" s="14"/>
      <c r="D882" s="14"/>
      <c r="E882" s="14"/>
      <c r="F882" s="14"/>
      <c r="G882" s="14"/>
      <c r="H882" s="14"/>
      <c r="I882" s="14"/>
      <c r="J882" s="14"/>
      <c r="K882" s="13"/>
      <c r="L882" s="13"/>
      <c r="M882" s="13"/>
      <c r="N882" s="13"/>
      <c r="O882" s="76"/>
      <c r="P882" s="81"/>
      <c r="Q882" s="123"/>
      <c r="R882" s="123"/>
      <c r="S882" s="123"/>
      <c r="T882" s="13">
        <f>LISTA[[#This Row],[TARIFA OUT ]]+LISTA[[#This Row],[TARIFA IN]]+LISTA[[#This Row],[VALOR FINAL]]</f>
        <v>0</v>
      </c>
    </row>
    <row r="883" spans="1:20" x14ac:dyDescent="0.2">
      <c r="A883" s="13"/>
      <c r="B883" s="14"/>
      <c r="C883" s="14"/>
      <c r="D883" s="14"/>
      <c r="E883" s="14"/>
      <c r="F883" s="14"/>
      <c r="G883" s="14"/>
      <c r="H883" s="14"/>
      <c r="I883" s="14"/>
      <c r="J883" s="14"/>
      <c r="K883" s="13"/>
      <c r="L883" s="13"/>
      <c r="M883" s="13"/>
      <c r="N883" s="13"/>
      <c r="O883" s="76"/>
      <c r="P883" s="81"/>
      <c r="Q883" s="123"/>
      <c r="R883" s="123"/>
      <c r="S883" s="123"/>
      <c r="T883" s="13">
        <f>LISTA[[#This Row],[TARIFA OUT ]]+LISTA[[#This Row],[TARIFA IN]]+LISTA[[#This Row],[VALOR FINAL]]</f>
        <v>0</v>
      </c>
    </row>
    <row r="884" spans="1:20" x14ac:dyDescent="0.2">
      <c r="A884" s="13"/>
      <c r="B884" s="14"/>
      <c r="C884" s="14"/>
      <c r="D884" s="14"/>
      <c r="E884" s="14"/>
      <c r="F884" s="14"/>
      <c r="G884" s="14"/>
      <c r="H884" s="14"/>
      <c r="I884" s="14"/>
      <c r="J884" s="14"/>
      <c r="K884" s="13"/>
      <c r="L884" s="13"/>
      <c r="M884" s="13"/>
      <c r="N884" s="13"/>
      <c r="O884" s="76"/>
      <c r="P884" s="81"/>
      <c r="Q884" s="123"/>
      <c r="R884" s="123"/>
      <c r="S884" s="123"/>
      <c r="T884" s="13">
        <f>LISTA[[#This Row],[TARIFA OUT ]]+LISTA[[#This Row],[TARIFA IN]]+LISTA[[#This Row],[VALOR FINAL]]</f>
        <v>0</v>
      </c>
    </row>
    <row r="885" spans="1:20" x14ac:dyDescent="0.2">
      <c r="A885" s="13"/>
      <c r="B885" s="14"/>
      <c r="C885" s="14"/>
      <c r="D885" s="14"/>
      <c r="E885" s="14"/>
      <c r="F885" s="14"/>
      <c r="G885" s="14"/>
      <c r="H885" s="14"/>
      <c r="I885" s="14"/>
      <c r="J885" s="14"/>
      <c r="K885" s="13"/>
      <c r="L885" s="13"/>
      <c r="M885" s="13"/>
      <c r="N885" s="13"/>
      <c r="O885" s="76"/>
      <c r="P885" s="81"/>
      <c r="Q885" s="123"/>
      <c r="R885" s="123"/>
      <c r="S885" s="123"/>
      <c r="T885" s="13">
        <f>LISTA[[#This Row],[TARIFA OUT ]]+LISTA[[#This Row],[TARIFA IN]]+LISTA[[#This Row],[VALOR FINAL]]</f>
        <v>0</v>
      </c>
    </row>
    <row r="886" spans="1:20" x14ac:dyDescent="0.2">
      <c r="A886" s="13"/>
      <c r="B886" s="14"/>
      <c r="C886" s="14"/>
      <c r="D886" s="14"/>
      <c r="E886" s="14"/>
      <c r="F886" s="14"/>
      <c r="G886" s="14"/>
      <c r="H886" s="14"/>
      <c r="I886" s="14"/>
      <c r="J886" s="14"/>
      <c r="K886" s="13"/>
      <c r="L886" s="13"/>
      <c r="M886" s="13"/>
      <c r="N886" s="13"/>
      <c r="O886" s="76"/>
      <c r="P886" s="81"/>
      <c r="Q886" s="123"/>
      <c r="R886" s="123"/>
      <c r="S886" s="123"/>
      <c r="T886" s="13">
        <f>LISTA[[#This Row],[TARIFA OUT ]]+LISTA[[#This Row],[TARIFA IN]]+LISTA[[#This Row],[VALOR FINAL]]</f>
        <v>0</v>
      </c>
    </row>
    <row r="887" spans="1:20" x14ac:dyDescent="0.2">
      <c r="A887" s="13"/>
      <c r="B887" s="14"/>
      <c r="C887" s="14"/>
      <c r="D887" s="14"/>
      <c r="E887" s="14"/>
      <c r="F887" s="14"/>
      <c r="G887" s="14"/>
      <c r="H887" s="14"/>
      <c r="I887" s="14"/>
      <c r="J887" s="14"/>
      <c r="K887" s="13"/>
      <c r="L887" s="13"/>
      <c r="M887" s="13"/>
      <c r="N887" s="13"/>
      <c r="O887" s="76"/>
      <c r="P887" s="81"/>
      <c r="Q887" s="123"/>
      <c r="R887" s="123"/>
      <c r="S887" s="123"/>
      <c r="T887" s="13">
        <f>LISTA[[#This Row],[TARIFA OUT ]]+LISTA[[#This Row],[TARIFA IN]]+LISTA[[#This Row],[VALOR FINAL]]</f>
        <v>0</v>
      </c>
    </row>
    <row r="888" spans="1:20" x14ac:dyDescent="0.2">
      <c r="A888" s="13"/>
      <c r="B888" s="14"/>
      <c r="C888" s="14"/>
      <c r="D888" s="14"/>
      <c r="E888" s="14"/>
      <c r="F888" s="14"/>
      <c r="G888" s="14"/>
      <c r="H888" s="14"/>
      <c r="I888" s="14"/>
      <c r="J888" s="14"/>
      <c r="K888" s="13"/>
      <c r="L888" s="13"/>
      <c r="M888" s="13"/>
      <c r="N888" s="13"/>
      <c r="O888" s="76"/>
      <c r="P888" s="81"/>
      <c r="Q888" s="123"/>
      <c r="R888" s="123"/>
      <c r="S888" s="123"/>
      <c r="T888" s="13">
        <f>LISTA[[#This Row],[TARIFA OUT ]]+LISTA[[#This Row],[TARIFA IN]]+LISTA[[#This Row],[VALOR FINAL]]</f>
        <v>0</v>
      </c>
    </row>
    <row r="889" spans="1:20" x14ac:dyDescent="0.2">
      <c r="A889" s="13"/>
      <c r="B889" s="14"/>
      <c r="C889" s="14"/>
      <c r="D889" s="14"/>
      <c r="E889" s="14"/>
      <c r="F889" s="14"/>
      <c r="G889" s="14"/>
      <c r="H889" s="14"/>
      <c r="I889" s="14"/>
      <c r="J889" s="14"/>
      <c r="K889" s="13"/>
      <c r="L889" s="13"/>
      <c r="M889" s="13"/>
      <c r="N889" s="13"/>
      <c r="O889" s="76"/>
      <c r="P889" s="81"/>
      <c r="Q889" s="123"/>
      <c r="R889" s="123"/>
      <c r="S889" s="123"/>
      <c r="T889" s="13">
        <f>LISTA[[#This Row],[TARIFA OUT ]]+LISTA[[#This Row],[TARIFA IN]]+LISTA[[#This Row],[VALOR FINAL]]</f>
        <v>0</v>
      </c>
    </row>
    <row r="890" spans="1:20" x14ac:dyDescent="0.2">
      <c r="A890" s="13"/>
      <c r="B890" s="14"/>
      <c r="C890" s="14"/>
      <c r="D890" s="14"/>
      <c r="E890" s="14"/>
      <c r="F890" s="14"/>
      <c r="G890" s="14"/>
      <c r="H890" s="14"/>
      <c r="I890" s="14"/>
      <c r="J890" s="14"/>
      <c r="K890" s="13"/>
      <c r="L890" s="13"/>
      <c r="M890" s="13"/>
      <c r="N890" s="13"/>
      <c r="O890" s="76"/>
      <c r="P890" s="81"/>
      <c r="Q890" s="123"/>
      <c r="R890" s="123"/>
      <c r="S890" s="123"/>
      <c r="T890" s="13">
        <f>LISTA[[#This Row],[TARIFA OUT ]]+LISTA[[#This Row],[TARIFA IN]]+LISTA[[#This Row],[VALOR FINAL]]</f>
        <v>0</v>
      </c>
    </row>
    <row r="891" spans="1:20" x14ac:dyDescent="0.2">
      <c r="A891" s="13"/>
      <c r="B891" s="14"/>
      <c r="C891" s="14"/>
      <c r="D891" s="14"/>
      <c r="E891" s="14"/>
      <c r="F891" s="14"/>
      <c r="G891" s="14"/>
      <c r="H891" s="14"/>
      <c r="I891" s="14"/>
      <c r="J891" s="14"/>
      <c r="K891" s="13"/>
      <c r="L891" s="13"/>
      <c r="M891" s="13"/>
      <c r="N891" s="13"/>
      <c r="O891" s="76"/>
      <c r="P891" s="81"/>
      <c r="Q891" s="123"/>
      <c r="R891" s="123"/>
      <c r="S891" s="123"/>
      <c r="T891" s="13">
        <f>LISTA[[#This Row],[TARIFA OUT ]]+LISTA[[#This Row],[TARIFA IN]]+LISTA[[#This Row],[VALOR FINAL]]</f>
        <v>0</v>
      </c>
    </row>
    <row r="892" spans="1:20" x14ac:dyDescent="0.2">
      <c r="A892" s="13"/>
      <c r="B892" s="14"/>
      <c r="C892" s="14"/>
      <c r="D892" s="14"/>
      <c r="E892" s="14"/>
      <c r="F892" s="14"/>
      <c r="G892" s="14"/>
      <c r="H892" s="14"/>
      <c r="I892" s="14"/>
      <c r="J892" s="14"/>
      <c r="K892" s="13"/>
      <c r="L892" s="13"/>
      <c r="M892" s="13"/>
      <c r="N892" s="13"/>
      <c r="O892" s="76"/>
      <c r="P892" s="81"/>
      <c r="Q892" s="123"/>
      <c r="R892" s="123"/>
      <c r="S892" s="123"/>
      <c r="T892" s="13">
        <f>LISTA[[#This Row],[TARIFA OUT ]]+LISTA[[#This Row],[TARIFA IN]]+LISTA[[#This Row],[VALOR FINAL]]</f>
        <v>0</v>
      </c>
    </row>
    <row r="893" spans="1:20" x14ac:dyDescent="0.2">
      <c r="A893" s="13"/>
      <c r="B893" s="14"/>
      <c r="C893" s="14"/>
      <c r="D893" s="14"/>
      <c r="E893" s="14"/>
      <c r="F893" s="14"/>
      <c r="G893" s="14"/>
      <c r="H893" s="14"/>
      <c r="I893" s="14"/>
      <c r="J893" s="14"/>
      <c r="K893" s="13"/>
      <c r="L893" s="13"/>
      <c r="M893" s="13"/>
      <c r="N893" s="13"/>
      <c r="O893" s="76"/>
      <c r="P893" s="81"/>
      <c r="Q893" s="123"/>
      <c r="R893" s="123"/>
      <c r="S893" s="123"/>
      <c r="T893" s="13">
        <f>LISTA[[#This Row],[TARIFA OUT ]]+LISTA[[#This Row],[TARIFA IN]]+LISTA[[#This Row],[VALOR FINAL]]</f>
        <v>0</v>
      </c>
    </row>
    <row r="894" spans="1:20" x14ac:dyDescent="0.2">
      <c r="A894" s="13"/>
      <c r="B894" s="14"/>
      <c r="C894" s="14"/>
      <c r="D894" s="14"/>
      <c r="E894" s="14"/>
      <c r="F894" s="14"/>
      <c r="G894" s="14"/>
      <c r="H894" s="14"/>
      <c r="I894" s="14"/>
      <c r="J894" s="14"/>
      <c r="K894" s="13"/>
      <c r="L894" s="13"/>
      <c r="M894" s="13"/>
      <c r="N894" s="13"/>
      <c r="O894" s="76"/>
      <c r="P894" s="81"/>
      <c r="Q894" s="123"/>
      <c r="R894" s="123"/>
      <c r="S894" s="123"/>
      <c r="T894" s="13">
        <f>LISTA[[#This Row],[TARIFA OUT ]]+LISTA[[#This Row],[TARIFA IN]]+LISTA[[#This Row],[VALOR FINAL]]</f>
        <v>0</v>
      </c>
    </row>
    <row r="895" spans="1:20" x14ac:dyDescent="0.2">
      <c r="A895" s="13"/>
      <c r="B895" s="14"/>
      <c r="C895" s="14"/>
      <c r="D895" s="14"/>
      <c r="E895" s="14"/>
      <c r="F895" s="14"/>
      <c r="G895" s="14"/>
      <c r="H895" s="14"/>
      <c r="I895" s="14"/>
      <c r="J895" s="14"/>
      <c r="K895" s="13"/>
      <c r="L895" s="13"/>
      <c r="M895" s="13"/>
      <c r="N895" s="13"/>
      <c r="O895" s="76"/>
      <c r="P895" s="81"/>
      <c r="Q895" s="123"/>
      <c r="R895" s="123"/>
      <c r="S895" s="123"/>
      <c r="T895" s="13">
        <f>LISTA[[#This Row],[TARIFA OUT ]]+LISTA[[#This Row],[TARIFA IN]]+LISTA[[#This Row],[VALOR FINAL]]</f>
        <v>0</v>
      </c>
    </row>
    <row r="896" spans="1:20" x14ac:dyDescent="0.2">
      <c r="A896" s="13"/>
      <c r="B896" s="14"/>
      <c r="C896" s="14"/>
      <c r="D896" s="14"/>
      <c r="E896" s="14"/>
      <c r="F896" s="14"/>
      <c r="G896" s="14"/>
      <c r="H896" s="14"/>
      <c r="I896" s="14"/>
      <c r="J896" s="14"/>
      <c r="K896" s="13"/>
      <c r="L896" s="13"/>
      <c r="M896" s="13"/>
      <c r="N896" s="13"/>
      <c r="O896" s="76"/>
      <c r="P896" s="81"/>
      <c r="Q896" s="123"/>
      <c r="R896" s="123"/>
      <c r="S896" s="123"/>
      <c r="T896" s="13">
        <f>LISTA[[#This Row],[TARIFA OUT ]]+LISTA[[#This Row],[TARIFA IN]]+LISTA[[#This Row],[VALOR FINAL]]</f>
        <v>0</v>
      </c>
    </row>
    <row r="897" spans="1:20" x14ac:dyDescent="0.2">
      <c r="A897" s="13"/>
      <c r="B897" s="14"/>
      <c r="C897" s="14"/>
      <c r="D897" s="14"/>
      <c r="E897" s="14"/>
      <c r="F897" s="14"/>
      <c r="G897" s="14"/>
      <c r="H897" s="14"/>
      <c r="I897" s="14"/>
      <c r="J897" s="14"/>
      <c r="K897" s="13"/>
      <c r="L897" s="13"/>
      <c r="M897" s="13"/>
      <c r="N897" s="13"/>
      <c r="O897" s="76"/>
      <c r="P897" s="81"/>
      <c r="Q897" s="123"/>
      <c r="R897" s="123"/>
      <c r="S897" s="123"/>
      <c r="T897" s="13">
        <f>LISTA[[#This Row],[TARIFA OUT ]]+LISTA[[#This Row],[TARIFA IN]]+LISTA[[#This Row],[VALOR FINAL]]</f>
        <v>0</v>
      </c>
    </row>
    <row r="898" spans="1:20" x14ac:dyDescent="0.2">
      <c r="A898" s="13"/>
      <c r="B898" s="14"/>
      <c r="C898" s="14"/>
      <c r="D898" s="14"/>
      <c r="E898" s="14"/>
      <c r="F898" s="14"/>
      <c r="G898" s="14"/>
      <c r="H898" s="14"/>
      <c r="I898" s="14"/>
      <c r="J898" s="14"/>
      <c r="K898" s="13"/>
      <c r="L898" s="13"/>
      <c r="M898" s="13"/>
      <c r="N898" s="13"/>
      <c r="O898" s="76"/>
      <c r="P898" s="81"/>
      <c r="Q898" s="123"/>
      <c r="R898" s="123"/>
      <c r="S898" s="123"/>
      <c r="T898" s="13">
        <f>LISTA[[#This Row],[TARIFA OUT ]]+LISTA[[#This Row],[TARIFA IN]]+LISTA[[#This Row],[VALOR FINAL]]</f>
        <v>0</v>
      </c>
    </row>
    <row r="899" spans="1:20" x14ac:dyDescent="0.2">
      <c r="A899" s="13"/>
      <c r="B899" s="14"/>
      <c r="C899" s="14"/>
      <c r="D899" s="14"/>
      <c r="E899" s="14"/>
      <c r="F899" s="14"/>
      <c r="G899" s="14"/>
      <c r="H899" s="14"/>
      <c r="I899" s="14"/>
      <c r="J899" s="14"/>
      <c r="K899" s="13"/>
      <c r="L899" s="13"/>
      <c r="M899" s="13"/>
      <c r="N899" s="13"/>
      <c r="O899" s="76"/>
      <c r="P899" s="81"/>
      <c r="Q899" s="123"/>
      <c r="R899" s="123"/>
      <c r="S899" s="123"/>
      <c r="T899" s="13">
        <f>LISTA[[#This Row],[TARIFA OUT ]]+LISTA[[#This Row],[TARIFA IN]]+LISTA[[#This Row],[VALOR FINAL]]</f>
        <v>0</v>
      </c>
    </row>
    <row r="900" spans="1:20" x14ac:dyDescent="0.2">
      <c r="A900" s="13"/>
      <c r="B900" s="14"/>
      <c r="C900" s="14"/>
      <c r="D900" s="14"/>
      <c r="E900" s="14"/>
      <c r="F900" s="14"/>
      <c r="G900" s="14"/>
      <c r="H900" s="14"/>
      <c r="I900" s="14"/>
      <c r="J900" s="14"/>
      <c r="K900" s="13"/>
      <c r="L900" s="13"/>
      <c r="M900" s="13"/>
      <c r="N900" s="13"/>
      <c r="O900" s="76"/>
      <c r="P900" s="81"/>
      <c r="Q900" s="123"/>
      <c r="R900" s="123"/>
      <c r="S900" s="123"/>
      <c r="T900" s="13">
        <f>LISTA[[#This Row],[TARIFA OUT ]]+LISTA[[#This Row],[TARIFA IN]]+LISTA[[#This Row],[VALOR FINAL]]</f>
        <v>0</v>
      </c>
    </row>
    <row r="901" spans="1:20" x14ac:dyDescent="0.2">
      <c r="A901" s="13"/>
      <c r="B901" s="14"/>
      <c r="C901" s="14"/>
      <c r="D901" s="14"/>
      <c r="E901" s="14"/>
      <c r="F901" s="14"/>
      <c r="G901" s="14"/>
      <c r="H901" s="14"/>
      <c r="I901" s="14"/>
      <c r="J901" s="14"/>
      <c r="K901" s="13"/>
      <c r="L901" s="13"/>
      <c r="M901" s="13"/>
      <c r="N901" s="13"/>
      <c r="O901" s="76"/>
      <c r="P901" s="81"/>
      <c r="Q901" s="123"/>
      <c r="R901" s="123"/>
      <c r="S901" s="123"/>
      <c r="T901" s="13">
        <f>LISTA[[#This Row],[TARIFA OUT ]]+LISTA[[#This Row],[TARIFA IN]]+LISTA[[#This Row],[VALOR FINAL]]</f>
        <v>0</v>
      </c>
    </row>
    <row r="902" spans="1:20" x14ac:dyDescent="0.2">
      <c r="A902" s="13"/>
      <c r="B902" s="14"/>
      <c r="C902" s="14"/>
      <c r="D902" s="14"/>
      <c r="E902" s="14"/>
      <c r="F902" s="14"/>
      <c r="G902" s="14"/>
      <c r="H902" s="14"/>
      <c r="I902" s="14"/>
      <c r="J902" s="14"/>
      <c r="K902" s="13"/>
      <c r="L902" s="13"/>
      <c r="M902" s="13"/>
      <c r="N902" s="13"/>
      <c r="O902" s="76"/>
      <c r="P902" s="81"/>
      <c r="Q902" s="123"/>
      <c r="R902" s="123"/>
      <c r="S902" s="123"/>
      <c r="T902" s="13">
        <f>LISTA[[#This Row],[TARIFA OUT ]]+LISTA[[#This Row],[TARIFA IN]]+LISTA[[#This Row],[VALOR FINAL]]</f>
        <v>0</v>
      </c>
    </row>
    <row r="903" spans="1:20" x14ac:dyDescent="0.2">
      <c r="A903" s="13"/>
      <c r="B903" s="14"/>
      <c r="C903" s="14"/>
      <c r="D903" s="14"/>
      <c r="E903" s="14"/>
      <c r="F903" s="14"/>
      <c r="G903" s="14"/>
      <c r="H903" s="14"/>
      <c r="I903" s="14"/>
      <c r="J903" s="14"/>
      <c r="K903" s="13"/>
      <c r="L903" s="13"/>
      <c r="M903" s="13"/>
      <c r="N903" s="13"/>
      <c r="O903" s="76"/>
      <c r="P903" s="81"/>
      <c r="Q903" s="123"/>
      <c r="R903" s="123"/>
      <c r="S903" s="123"/>
      <c r="T903" s="13">
        <f>LISTA[[#This Row],[TARIFA OUT ]]+LISTA[[#This Row],[TARIFA IN]]+LISTA[[#This Row],[VALOR FINAL]]</f>
        <v>0</v>
      </c>
    </row>
    <row r="904" spans="1:20" x14ac:dyDescent="0.2">
      <c r="A904" s="13"/>
      <c r="B904" s="14"/>
      <c r="C904" s="14"/>
      <c r="D904" s="14"/>
      <c r="E904" s="14"/>
      <c r="F904" s="14"/>
      <c r="G904" s="14"/>
      <c r="H904" s="14"/>
      <c r="I904" s="14"/>
      <c r="J904" s="14"/>
      <c r="K904" s="13"/>
      <c r="L904" s="13"/>
      <c r="M904" s="13"/>
      <c r="N904" s="13"/>
      <c r="O904" s="76"/>
      <c r="P904" s="81"/>
      <c r="Q904" s="123"/>
      <c r="R904" s="123"/>
      <c r="S904" s="123"/>
      <c r="T904" s="13">
        <f>LISTA[[#This Row],[TARIFA OUT ]]+LISTA[[#This Row],[TARIFA IN]]+LISTA[[#This Row],[VALOR FINAL]]</f>
        <v>0</v>
      </c>
    </row>
    <row r="905" spans="1:20" x14ac:dyDescent="0.2">
      <c r="A905" s="13"/>
      <c r="B905" s="14"/>
      <c r="C905" s="14"/>
      <c r="D905" s="14"/>
      <c r="E905" s="14"/>
      <c r="F905" s="14"/>
      <c r="G905" s="14"/>
      <c r="H905" s="14"/>
      <c r="I905" s="14"/>
      <c r="J905" s="14"/>
      <c r="K905" s="13"/>
      <c r="L905" s="13"/>
      <c r="M905" s="13"/>
      <c r="N905" s="13"/>
      <c r="O905" s="76"/>
      <c r="P905" s="81"/>
      <c r="Q905" s="123"/>
      <c r="R905" s="123"/>
      <c r="S905" s="123"/>
      <c r="T905" s="13">
        <f>LISTA[[#This Row],[TARIFA OUT ]]+LISTA[[#This Row],[TARIFA IN]]+LISTA[[#This Row],[VALOR FINAL]]</f>
        <v>0</v>
      </c>
    </row>
    <row r="906" spans="1:20" x14ac:dyDescent="0.2">
      <c r="A906" s="13"/>
      <c r="B906" s="14"/>
      <c r="C906" s="14"/>
      <c r="D906" s="14"/>
      <c r="E906" s="14"/>
      <c r="F906" s="14"/>
      <c r="G906" s="14"/>
      <c r="H906" s="14"/>
      <c r="I906" s="14"/>
      <c r="J906" s="14"/>
      <c r="K906" s="13"/>
      <c r="L906" s="13"/>
      <c r="M906" s="13"/>
      <c r="N906" s="13"/>
      <c r="O906" s="76"/>
      <c r="P906" s="81"/>
      <c r="Q906" s="123"/>
      <c r="R906" s="123"/>
      <c r="S906" s="123"/>
      <c r="T906" s="13">
        <f>LISTA[[#This Row],[TARIFA OUT ]]+LISTA[[#This Row],[TARIFA IN]]+LISTA[[#This Row],[VALOR FINAL]]</f>
        <v>0</v>
      </c>
    </row>
    <row r="907" spans="1:20" x14ac:dyDescent="0.2">
      <c r="A907" s="13"/>
      <c r="B907" s="14"/>
      <c r="C907" s="14"/>
      <c r="D907" s="14"/>
      <c r="E907" s="14"/>
      <c r="F907" s="14"/>
      <c r="G907" s="14"/>
      <c r="H907" s="14"/>
      <c r="I907" s="14"/>
      <c r="J907" s="14"/>
      <c r="K907" s="13"/>
      <c r="L907" s="13"/>
      <c r="M907" s="13"/>
      <c r="N907" s="13"/>
      <c r="O907" s="76"/>
      <c r="P907" s="81"/>
      <c r="Q907" s="123"/>
      <c r="R907" s="123"/>
      <c r="S907" s="123"/>
      <c r="T907" s="13">
        <f>LISTA[[#This Row],[TARIFA OUT ]]+LISTA[[#This Row],[TARIFA IN]]+LISTA[[#This Row],[VALOR FINAL]]</f>
        <v>0</v>
      </c>
    </row>
    <row r="908" spans="1:20" x14ac:dyDescent="0.2">
      <c r="A908" s="13"/>
      <c r="B908" s="14"/>
      <c r="C908" s="14"/>
      <c r="D908" s="14"/>
      <c r="E908" s="14"/>
      <c r="F908" s="14"/>
      <c r="G908" s="14"/>
      <c r="H908" s="14"/>
      <c r="I908" s="14"/>
      <c r="J908" s="14"/>
      <c r="K908" s="13"/>
      <c r="L908" s="13"/>
      <c r="M908" s="13"/>
      <c r="N908" s="13"/>
      <c r="O908" s="76"/>
      <c r="P908" s="81"/>
      <c r="Q908" s="123"/>
      <c r="R908" s="123"/>
      <c r="S908" s="123"/>
      <c r="T908" s="13">
        <f>LISTA[[#This Row],[TARIFA OUT ]]+LISTA[[#This Row],[TARIFA IN]]+LISTA[[#This Row],[VALOR FINAL]]</f>
        <v>0</v>
      </c>
    </row>
    <row r="909" spans="1:20" x14ac:dyDescent="0.2">
      <c r="A909" s="13"/>
      <c r="B909" s="14"/>
      <c r="C909" s="14"/>
      <c r="D909" s="14"/>
      <c r="E909" s="14"/>
      <c r="F909" s="14"/>
      <c r="G909" s="14"/>
      <c r="H909" s="14"/>
      <c r="I909" s="14"/>
      <c r="J909" s="14"/>
      <c r="K909" s="13"/>
      <c r="L909" s="13"/>
      <c r="M909" s="13"/>
      <c r="N909" s="13"/>
      <c r="O909" s="76"/>
      <c r="P909" s="81"/>
      <c r="Q909" s="123"/>
      <c r="R909" s="123"/>
      <c r="S909" s="123"/>
      <c r="T909" s="13">
        <f>LISTA[[#This Row],[TARIFA OUT ]]+LISTA[[#This Row],[TARIFA IN]]+LISTA[[#This Row],[VALOR FINAL]]</f>
        <v>0</v>
      </c>
    </row>
    <row r="910" spans="1:20" x14ac:dyDescent="0.2">
      <c r="A910" s="13"/>
      <c r="B910" s="14"/>
      <c r="C910" s="14"/>
      <c r="D910" s="14"/>
      <c r="E910" s="14"/>
      <c r="F910" s="14"/>
      <c r="G910" s="14"/>
      <c r="H910" s="14"/>
      <c r="I910" s="14"/>
      <c r="J910" s="14"/>
      <c r="K910" s="13"/>
      <c r="L910" s="13"/>
      <c r="M910" s="13"/>
      <c r="N910" s="13"/>
      <c r="O910" s="76"/>
      <c r="P910" s="81"/>
      <c r="Q910" s="123"/>
      <c r="R910" s="123"/>
      <c r="S910" s="123"/>
      <c r="T910" s="13">
        <f>LISTA[[#This Row],[TARIFA OUT ]]+LISTA[[#This Row],[TARIFA IN]]+LISTA[[#This Row],[VALOR FINAL]]</f>
        <v>0</v>
      </c>
    </row>
    <row r="911" spans="1:20" x14ac:dyDescent="0.2">
      <c r="A911" s="13"/>
      <c r="B911" s="14"/>
      <c r="C911" s="14"/>
      <c r="D911" s="14"/>
      <c r="E911" s="14"/>
      <c r="F911" s="14"/>
      <c r="G911" s="14"/>
      <c r="H911" s="14"/>
      <c r="I911" s="14"/>
      <c r="J911" s="14"/>
      <c r="K911" s="13"/>
      <c r="L911" s="13"/>
      <c r="M911" s="13"/>
      <c r="N911" s="13"/>
      <c r="O911" s="76"/>
      <c r="P911" s="81"/>
      <c r="Q911" s="123"/>
      <c r="R911" s="123"/>
      <c r="S911" s="123"/>
      <c r="T911" s="13">
        <f>LISTA[[#This Row],[TARIFA OUT ]]+LISTA[[#This Row],[TARIFA IN]]+LISTA[[#This Row],[VALOR FINAL]]</f>
        <v>0</v>
      </c>
    </row>
    <row r="912" spans="1:20" x14ac:dyDescent="0.2">
      <c r="A912" s="13"/>
      <c r="B912" s="14"/>
      <c r="C912" s="14"/>
      <c r="D912" s="14"/>
      <c r="E912" s="14"/>
      <c r="F912" s="14"/>
      <c r="G912" s="14"/>
      <c r="H912" s="14"/>
      <c r="I912" s="14"/>
      <c r="J912" s="14"/>
      <c r="K912" s="13"/>
      <c r="L912" s="13"/>
      <c r="M912" s="13"/>
      <c r="N912" s="13"/>
      <c r="O912" s="76"/>
      <c r="P912" s="81"/>
      <c r="Q912" s="123"/>
      <c r="R912" s="123"/>
      <c r="S912" s="123"/>
      <c r="T912" s="13">
        <f>LISTA[[#This Row],[TARIFA OUT ]]+LISTA[[#This Row],[TARIFA IN]]+LISTA[[#This Row],[VALOR FINAL]]</f>
        <v>0</v>
      </c>
    </row>
    <row r="913" spans="1:20" x14ac:dyDescent="0.2">
      <c r="A913" s="13"/>
      <c r="B913" s="14"/>
      <c r="C913" s="14"/>
      <c r="D913" s="14"/>
      <c r="E913" s="14"/>
      <c r="F913" s="14"/>
      <c r="G913" s="14"/>
      <c r="H913" s="14"/>
      <c r="I913" s="14"/>
      <c r="J913" s="14"/>
      <c r="K913" s="13"/>
      <c r="L913" s="13"/>
      <c r="M913" s="13"/>
      <c r="N913" s="13"/>
      <c r="O913" s="76"/>
      <c r="P913" s="81"/>
      <c r="Q913" s="123"/>
      <c r="R913" s="123"/>
      <c r="S913" s="123"/>
      <c r="T913" s="13">
        <f>LISTA[[#This Row],[TARIFA OUT ]]+LISTA[[#This Row],[TARIFA IN]]+LISTA[[#This Row],[VALOR FINAL]]</f>
        <v>0</v>
      </c>
    </row>
    <row r="914" spans="1:20" x14ac:dyDescent="0.2">
      <c r="A914" s="13"/>
      <c r="B914" s="14"/>
      <c r="C914" s="14"/>
      <c r="D914" s="14"/>
      <c r="E914" s="14"/>
      <c r="F914" s="14"/>
      <c r="G914" s="14"/>
      <c r="H914" s="14"/>
      <c r="I914" s="14"/>
      <c r="J914" s="14"/>
      <c r="K914" s="13"/>
      <c r="L914" s="13"/>
      <c r="M914" s="13"/>
      <c r="N914" s="13"/>
      <c r="O914" s="76"/>
      <c r="P914" s="81"/>
      <c r="Q914" s="123"/>
      <c r="R914" s="123"/>
      <c r="S914" s="123"/>
      <c r="T914" s="13">
        <f>LISTA[[#This Row],[TARIFA OUT ]]+LISTA[[#This Row],[TARIFA IN]]+LISTA[[#This Row],[VALOR FINAL]]</f>
        <v>0</v>
      </c>
    </row>
    <row r="915" spans="1:20" x14ac:dyDescent="0.2">
      <c r="A915" s="13"/>
      <c r="B915" s="14"/>
      <c r="C915" s="14"/>
      <c r="D915" s="14"/>
      <c r="E915" s="14"/>
      <c r="F915" s="14"/>
      <c r="G915" s="14"/>
      <c r="H915" s="14"/>
      <c r="I915" s="14"/>
      <c r="J915" s="14"/>
      <c r="K915" s="13"/>
      <c r="L915" s="13"/>
      <c r="M915" s="13"/>
      <c r="N915" s="13"/>
      <c r="O915" s="76"/>
      <c r="P915" s="81"/>
      <c r="Q915" s="123"/>
      <c r="R915" s="123"/>
      <c r="S915" s="123"/>
      <c r="T915" s="13">
        <f>LISTA[[#This Row],[TARIFA OUT ]]+LISTA[[#This Row],[TARIFA IN]]+LISTA[[#This Row],[VALOR FINAL]]</f>
        <v>0</v>
      </c>
    </row>
    <row r="916" spans="1:20" x14ac:dyDescent="0.2">
      <c r="A916" s="13"/>
      <c r="B916" s="14"/>
      <c r="C916" s="14"/>
      <c r="D916" s="14"/>
      <c r="E916" s="14"/>
      <c r="F916" s="14"/>
      <c r="G916" s="14"/>
      <c r="H916" s="14"/>
      <c r="I916" s="14"/>
      <c r="J916" s="14"/>
      <c r="K916" s="13"/>
      <c r="L916" s="13"/>
      <c r="M916" s="13"/>
      <c r="N916" s="13"/>
      <c r="O916" s="76"/>
      <c r="P916" s="81"/>
      <c r="Q916" s="123"/>
      <c r="R916" s="123"/>
      <c r="S916" s="123"/>
      <c r="T916" s="13">
        <f>LISTA[[#This Row],[TARIFA OUT ]]+LISTA[[#This Row],[TARIFA IN]]+LISTA[[#This Row],[VALOR FINAL]]</f>
        <v>0</v>
      </c>
    </row>
    <row r="917" spans="1:20" x14ac:dyDescent="0.2">
      <c r="A917" s="13"/>
      <c r="B917" s="14"/>
      <c r="C917" s="14"/>
      <c r="D917" s="14"/>
      <c r="E917" s="14"/>
      <c r="F917" s="14"/>
      <c r="G917" s="14"/>
      <c r="H917" s="14"/>
      <c r="I917" s="14"/>
      <c r="J917" s="14"/>
      <c r="K917" s="13"/>
      <c r="L917" s="13"/>
      <c r="M917" s="13"/>
      <c r="N917" s="13"/>
      <c r="O917" s="76"/>
      <c r="P917" s="81"/>
      <c r="Q917" s="123"/>
      <c r="R917" s="123"/>
      <c r="S917" s="123"/>
      <c r="T917" s="13">
        <f>LISTA[[#This Row],[TARIFA OUT ]]+LISTA[[#This Row],[TARIFA IN]]+LISTA[[#This Row],[VALOR FINAL]]</f>
        <v>0</v>
      </c>
    </row>
    <row r="918" spans="1:20" x14ac:dyDescent="0.2">
      <c r="A918" s="13"/>
      <c r="B918" s="14"/>
      <c r="C918" s="14"/>
      <c r="D918" s="14"/>
      <c r="E918" s="14"/>
      <c r="F918" s="14"/>
      <c r="G918" s="14"/>
      <c r="H918" s="14"/>
      <c r="I918" s="14"/>
      <c r="J918" s="14"/>
      <c r="K918" s="13"/>
      <c r="L918" s="13"/>
      <c r="M918" s="13"/>
      <c r="N918" s="13"/>
      <c r="O918" s="76"/>
      <c r="P918" s="81"/>
      <c r="Q918" s="123"/>
      <c r="R918" s="123"/>
      <c r="S918" s="123"/>
      <c r="T918" s="13">
        <f>LISTA[[#This Row],[TARIFA OUT ]]+LISTA[[#This Row],[TARIFA IN]]+LISTA[[#This Row],[VALOR FINAL]]</f>
        <v>0</v>
      </c>
    </row>
    <row r="919" spans="1:20" x14ac:dyDescent="0.2">
      <c r="A919" s="13"/>
      <c r="B919" s="14"/>
      <c r="C919" s="14"/>
      <c r="D919" s="14"/>
      <c r="E919" s="14"/>
      <c r="F919" s="14"/>
      <c r="G919" s="14"/>
      <c r="H919" s="14"/>
      <c r="I919" s="14"/>
      <c r="J919" s="14"/>
      <c r="K919" s="13"/>
      <c r="L919" s="13"/>
      <c r="M919" s="13"/>
      <c r="N919" s="13"/>
      <c r="O919" s="76"/>
      <c r="P919" s="81"/>
      <c r="Q919" s="123"/>
      <c r="R919" s="123"/>
      <c r="S919" s="123"/>
      <c r="T919" s="13">
        <f>LISTA[[#This Row],[TARIFA OUT ]]+LISTA[[#This Row],[TARIFA IN]]+LISTA[[#This Row],[VALOR FINAL]]</f>
        <v>0</v>
      </c>
    </row>
    <row r="920" spans="1:20" x14ac:dyDescent="0.2">
      <c r="A920" s="13"/>
      <c r="B920" s="14"/>
      <c r="C920" s="14"/>
      <c r="D920" s="14"/>
      <c r="E920" s="14"/>
      <c r="F920" s="14"/>
      <c r="G920" s="14"/>
      <c r="H920" s="14"/>
      <c r="I920" s="14"/>
      <c r="J920" s="14"/>
      <c r="K920" s="13"/>
      <c r="L920" s="13"/>
      <c r="M920" s="13"/>
      <c r="N920" s="13"/>
      <c r="O920" s="76"/>
      <c r="P920" s="81"/>
      <c r="Q920" s="123"/>
      <c r="R920" s="123"/>
      <c r="S920" s="123"/>
      <c r="T920" s="13">
        <f>LISTA[[#This Row],[TARIFA OUT ]]+LISTA[[#This Row],[TARIFA IN]]+LISTA[[#This Row],[VALOR FINAL]]</f>
        <v>0</v>
      </c>
    </row>
    <row r="921" spans="1:20" x14ac:dyDescent="0.2">
      <c r="A921" s="13"/>
      <c r="B921" s="14"/>
      <c r="C921" s="14"/>
      <c r="D921" s="14"/>
      <c r="E921" s="14"/>
      <c r="F921" s="14"/>
      <c r="G921" s="14"/>
      <c r="H921" s="14"/>
      <c r="I921" s="14"/>
      <c r="J921" s="14"/>
      <c r="K921" s="13"/>
      <c r="L921" s="13"/>
      <c r="M921" s="13"/>
      <c r="N921" s="13"/>
      <c r="O921" s="76"/>
      <c r="P921" s="81"/>
      <c r="Q921" s="123"/>
      <c r="R921" s="123"/>
      <c r="S921" s="123"/>
      <c r="T921" s="13">
        <f>LISTA[[#This Row],[TARIFA OUT ]]+LISTA[[#This Row],[TARIFA IN]]+LISTA[[#This Row],[VALOR FINAL]]</f>
        <v>0</v>
      </c>
    </row>
    <row r="922" spans="1:20" x14ac:dyDescent="0.2">
      <c r="A922" s="13"/>
      <c r="B922" s="14"/>
      <c r="C922" s="14"/>
      <c r="D922" s="14"/>
      <c r="E922" s="14"/>
      <c r="F922" s="14"/>
      <c r="G922" s="14"/>
      <c r="H922" s="14"/>
      <c r="I922" s="14"/>
      <c r="J922" s="14"/>
      <c r="K922" s="13"/>
      <c r="L922" s="13"/>
      <c r="M922" s="13"/>
      <c r="N922" s="13"/>
      <c r="O922" s="76"/>
      <c r="P922" s="81"/>
      <c r="Q922" s="123"/>
      <c r="R922" s="123"/>
      <c r="S922" s="123"/>
      <c r="T922" s="13">
        <f>LISTA[[#This Row],[TARIFA OUT ]]+LISTA[[#This Row],[TARIFA IN]]+LISTA[[#This Row],[VALOR FINAL]]</f>
        <v>0</v>
      </c>
    </row>
    <row r="923" spans="1:20" x14ac:dyDescent="0.2">
      <c r="A923" s="13"/>
      <c r="B923" s="14"/>
      <c r="C923" s="14"/>
      <c r="D923" s="14"/>
      <c r="E923" s="14"/>
      <c r="F923" s="14"/>
      <c r="G923" s="14"/>
      <c r="H923" s="14"/>
      <c r="I923" s="14"/>
      <c r="J923" s="14"/>
      <c r="K923" s="13"/>
      <c r="L923" s="13"/>
      <c r="M923" s="13"/>
      <c r="N923" s="13"/>
      <c r="O923" s="76"/>
      <c r="P923" s="81"/>
      <c r="Q923" s="123"/>
      <c r="R923" s="123"/>
      <c r="S923" s="123"/>
      <c r="T923" s="13">
        <f>LISTA[[#This Row],[TARIFA OUT ]]+LISTA[[#This Row],[TARIFA IN]]+LISTA[[#This Row],[VALOR FINAL]]</f>
        <v>0</v>
      </c>
    </row>
    <row r="924" spans="1:20" x14ac:dyDescent="0.2">
      <c r="A924" s="13"/>
      <c r="B924" s="14"/>
      <c r="C924" s="14"/>
      <c r="D924" s="14"/>
      <c r="E924" s="14"/>
      <c r="F924" s="14"/>
      <c r="G924" s="14"/>
      <c r="H924" s="14"/>
      <c r="I924" s="14"/>
      <c r="J924" s="14"/>
      <c r="K924" s="13"/>
      <c r="L924" s="13"/>
      <c r="M924" s="13"/>
      <c r="N924" s="13"/>
      <c r="O924" s="76"/>
      <c r="P924" s="81"/>
      <c r="Q924" s="123"/>
      <c r="R924" s="123"/>
      <c r="S924" s="123"/>
      <c r="T924" s="13">
        <f>LISTA[[#This Row],[TARIFA OUT ]]+LISTA[[#This Row],[TARIFA IN]]+LISTA[[#This Row],[VALOR FINAL]]</f>
        <v>0</v>
      </c>
    </row>
    <row r="925" spans="1:20" x14ac:dyDescent="0.2">
      <c r="A925" s="13"/>
      <c r="B925" s="14"/>
      <c r="C925" s="14"/>
      <c r="D925" s="14"/>
      <c r="E925" s="14"/>
      <c r="F925" s="14"/>
      <c r="G925" s="14"/>
      <c r="H925" s="14"/>
      <c r="I925" s="14"/>
      <c r="J925" s="14"/>
      <c r="K925" s="13"/>
      <c r="L925" s="13"/>
      <c r="M925" s="13"/>
      <c r="N925" s="13"/>
      <c r="O925" s="76"/>
      <c r="P925" s="81"/>
      <c r="Q925" s="123"/>
      <c r="R925" s="123"/>
      <c r="S925" s="123"/>
      <c r="T925" s="13">
        <f>LISTA[[#This Row],[TARIFA OUT ]]+LISTA[[#This Row],[TARIFA IN]]+LISTA[[#This Row],[VALOR FINAL]]</f>
        <v>0</v>
      </c>
    </row>
    <row r="926" spans="1:20" x14ac:dyDescent="0.2">
      <c r="A926" s="13"/>
      <c r="B926" s="14"/>
      <c r="C926" s="14"/>
      <c r="D926" s="14"/>
      <c r="E926" s="14"/>
      <c r="F926" s="14"/>
      <c r="G926" s="14"/>
      <c r="H926" s="14"/>
      <c r="I926" s="14"/>
      <c r="J926" s="14"/>
      <c r="K926" s="13"/>
      <c r="L926" s="13"/>
      <c r="M926" s="13"/>
      <c r="N926" s="13"/>
      <c r="O926" s="76"/>
      <c r="P926" s="81"/>
      <c r="Q926" s="123"/>
      <c r="R926" s="123"/>
      <c r="S926" s="123"/>
      <c r="T926" s="13">
        <f>LISTA[[#This Row],[TARIFA OUT ]]+LISTA[[#This Row],[TARIFA IN]]+LISTA[[#This Row],[VALOR FINAL]]</f>
        <v>0</v>
      </c>
    </row>
    <row r="927" spans="1:20" x14ac:dyDescent="0.2">
      <c r="A927" s="13"/>
      <c r="B927" s="14"/>
      <c r="C927" s="14"/>
      <c r="D927" s="14"/>
      <c r="E927" s="14"/>
      <c r="F927" s="14"/>
      <c r="G927" s="14"/>
      <c r="H927" s="14"/>
      <c r="I927" s="14"/>
      <c r="J927" s="14"/>
      <c r="K927" s="13"/>
      <c r="L927" s="13"/>
      <c r="M927" s="13"/>
      <c r="N927" s="13"/>
      <c r="O927" s="76"/>
      <c r="P927" s="81"/>
      <c r="Q927" s="123"/>
      <c r="R927" s="123"/>
      <c r="S927" s="123"/>
      <c r="T927" s="13">
        <f>LISTA[[#This Row],[TARIFA OUT ]]+LISTA[[#This Row],[TARIFA IN]]+LISTA[[#This Row],[VALOR FINAL]]</f>
        <v>0</v>
      </c>
    </row>
    <row r="928" spans="1:20" x14ac:dyDescent="0.2">
      <c r="A928" s="13"/>
      <c r="B928" s="14"/>
      <c r="C928" s="14"/>
      <c r="D928" s="14"/>
      <c r="E928" s="14"/>
      <c r="F928" s="14"/>
      <c r="G928" s="14"/>
      <c r="H928" s="14"/>
      <c r="I928" s="14"/>
      <c r="J928" s="14"/>
      <c r="K928" s="13"/>
      <c r="L928" s="13"/>
      <c r="M928" s="13"/>
      <c r="N928" s="13"/>
      <c r="O928" s="76"/>
      <c r="P928" s="81"/>
      <c r="Q928" s="123"/>
      <c r="R928" s="123"/>
      <c r="S928" s="123"/>
      <c r="T928" s="13">
        <f>LISTA[[#This Row],[TARIFA OUT ]]+LISTA[[#This Row],[TARIFA IN]]+LISTA[[#This Row],[VALOR FINAL]]</f>
        <v>0</v>
      </c>
    </row>
    <row r="929" spans="1:20" x14ac:dyDescent="0.2">
      <c r="A929" s="13"/>
      <c r="B929" s="14"/>
      <c r="C929" s="14"/>
      <c r="D929" s="14"/>
      <c r="E929" s="14"/>
      <c r="F929" s="14"/>
      <c r="G929" s="14"/>
      <c r="H929" s="14"/>
      <c r="I929" s="14"/>
      <c r="J929" s="14"/>
      <c r="K929" s="13"/>
      <c r="L929" s="13"/>
      <c r="M929" s="13"/>
      <c r="N929" s="13"/>
      <c r="O929" s="76"/>
      <c r="P929" s="81"/>
      <c r="Q929" s="123"/>
      <c r="R929" s="123"/>
      <c r="S929" s="123"/>
      <c r="T929" s="13">
        <f>LISTA[[#This Row],[TARIFA OUT ]]+LISTA[[#This Row],[TARIFA IN]]+LISTA[[#This Row],[VALOR FINAL]]</f>
        <v>0</v>
      </c>
    </row>
    <row r="930" spans="1:20" x14ac:dyDescent="0.2">
      <c r="A930" s="13"/>
      <c r="B930" s="14"/>
      <c r="C930" s="14"/>
      <c r="D930" s="14"/>
      <c r="E930" s="14"/>
      <c r="F930" s="14"/>
      <c r="G930" s="14"/>
      <c r="H930" s="14"/>
      <c r="I930" s="14"/>
      <c r="J930" s="14"/>
      <c r="K930" s="13"/>
      <c r="L930" s="13"/>
      <c r="M930" s="13"/>
      <c r="N930" s="13"/>
      <c r="O930" s="76"/>
      <c r="P930" s="81"/>
      <c r="Q930" s="123"/>
      <c r="R930" s="123"/>
      <c r="S930" s="123"/>
      <c r="T930" s="13">
        <f>LISTA[[#This Row],[TARIFA OUT ]]+LISTA[[#This Row],[TARIFA IN]]+LISTA[[#This Row],[VALOR FINAL]]</f>
        <v>0</v>
      </c>
    </row>
    <row r="931" spans="1:20" x14ac:dyDescent="0.2">
      <c r="A931" s="13"/>
      <c r="B931" s="14"/>
      <c r="C931" s="14"/>
      <c r="D931" s="14"/>
      <c r="E931" s="14"/>
      <c r="F931" s="14"/>
      <c r="G931" s="14"/>
      <c r="H931" s="14"/>
      <c r="I931" s="14"/>
      <c r="J931" s="14"/>
      <c r="K931" s="13"/>
      <c r="L931" s="13"/>
      <c r="M931" s="13"/>
      <c r="N931" s="13"/>
      <c r="O931" s="76"/>
      <c r="P931" s="81"/>
      <c r="Q931" s="123"/>
      <c r="R931" s="123"/>
      <c r="S931" s="123"/>
      <c r="T931" s="13">
        <f>LISTA[[#This Row],[TARIFA OUT ]]+LISTA[[#This Row],[TARIFA IN]]+LISTA[[#This Row],[VALOR FINAL]]</f>
        <v>0</v>
      </c>
    </row>
    <row r="932" spans="1:20" x14ac:dyDescent="0.2">
      <c r="A932" s="13"/>
      <c r="B932" s="14"/>
      <c r="C932" s="14"/>
      <c r="D932" s="14"/>
      <c r="E932" s="14"/>
      <c r="F932" s="14"/>
      <c r="G932" s="14"/>
      <c r="H932" s="14"/>
      <c r="I932" s="14"/>
      <c r="J932" s="14"/>
      <c r="K932" s="13"/>
      <c r="L932" s="13"/>
      <c r="M932" s="13"/>
      <c r="N932" s="13"/>
      <c r="O932" s="76"/>
      <c r="P932" s="81"/>
      <c r="Q932" s="123"/>
      <c r="R932" s="123"/>
      <c r="S932" s="123"/>
      <c r="T932" s="13">
        <f>LISTA[[#This Row],[TARIFA OUT ]]+LISTA[[#This Row],[TARIFA IN]]+LISTA[[#This Row],[VALOR FINAL]]</f>
        <v>0</v>
      </c>
    </row>
    <row r="933" spans="1:20" x14ac:dyDescent="0.2">
      <c r="A933" s="13"/>
      <c r="B933" s="14"/>
      <c r="C933" s="14"/>
      <c r="D933" s="14"/>
      <c r="E933" s="14"/>
      <c r="F933" s="14"/>
      <c r="G933" s="14"/>
      <c r="H933" s="14"/>
      <c r="I933" s="14"/>
      <c r="J933" s="14"/>
      <c r="K933" s="13"/>
      <c r="L933" s="13"/>
      <c r="M933" s="13"/>
      <c r="N933" s="13"/>
      <c r="O933" s="76"/>
      <c r="P933" s="81"/>
      <c r="Q933" s="123"/>
      <c r="R933" s="123"/>
      <c r="S933" s="123"/>
      <c r="T933" s="13">
        <f>LISTA[[#This Row],[TARIFA OUT ]]+LISTA[[#This Row],[TARIFA IN]]+LISTA[[#This Row],[VALOR FINAL]]</f>
        <v>0</v>
      </c>
    </row>
    <row r="934" spans="1:20" x14ac:dyDescent="0.2">
      <c r="A934" s="13"/>
      <c r="B934" s="14"/>
      <c r="C934" s="14"/>
      <c r="D934" s="14"/>
      <c r="E934" s="14"/>
      <c r="F934" s="14"/>
      <c r="G934" s="14"/>
      <c r="H934" s="14"/>
      <c r="I934" s="14"/>
      <c r="J934" s="14"/>
      <c r="K934" s="13"/>
      <c r="L934" s="13"/>
      <c r="M934" s="13"/>
      <c r="N934" s="13"/>
      <c r="O934" s="76"/>
      <c r="P934" s="81"/>
      <c r="Q934" s="123"/>
      <c r="R934" s="123"/>
      <c r="S934" s="123"/>
      <c r="T934" s="13">
        <f>LISTA[[#This Row],[TARIFA OUT ]]+LISTA[[#This Row],[TARIFA IN]]+LISTA[[#This Row],[VALOR FINAL]]</f>
        <v>0</v>
      </c>
    </row>
    <row r="935" spans="1:20" x14ac:dyDescent="0.2">
      <c r="A935" s="13"/>
      <c r="B935" s="14"/>
      <c r="C935" s="14"/>
      <c r="D935" s="14"/>
      <c r="E935" s="14"/>
      <c r="F935" s="14"/>
      <c r="G935" s="14"/>
      <c r="H935" s="14"/>
      <c r="I935" s="14"/>
      <c r="J935" s="14"/>
      <c r="K935" s="13"/>
      <c r="L935" s="13"/>
      <c r="M935" s="13"/>
      <c r="N935" s="13"/>
      <c r="O935" s="76"/>
      <c r="P935" s="81"/>
      <c r="Q935" s="123"/>
      <c r="R935" s="123"/>
      <c r="S935" s="123"/>
      <c r="T935" s="13">
        <f>LISTA[[#This Row],[TARIFA OUT ]]+LISTA[[#This Row],[TARIFA IN]]+LISTA[[#This Row],[VALOR FINAL]]</f>
        <v>0</v>
      </c>
    </row>
    <row r="936" spans="1:20" x14ac:dyDescent="0.2">
      <c r="A936" s="13"/>
      <c r="B936" s="14"/>
      <c r="C936" s="14"/>
      <c r="D936" s="14"/>
      <c r="E936" s="14"/>
      <c r="F936" s="14"/>
      <c r="G936" s="14"/>
      <c r="H936" s="14"/>
      <c r="I936" s="14"/>
      <c r="J936" s="14"/>
      <c r="K936" s="13"/>
      <c r="L936" s="13"/>
      <c r="M936" s="13"/>
      <c r="N936" s="13"/>
      <c r="O936" s="76"/>
      <c r="P936" s="81"/>
      <c r="Q936" s="123"/>
      <c r="R936" s="123"/>
      <c r="S936" s="123"/>
      <c r="T936" s="13">
        <f>LISTA[[#This Row],[TARIFA OUT ]]+LISTA[[#This Row],[TARIFA IN]]+LISTA[[#This Row],[VALOR FINAL]]</f>
        <v>0</v>
      </c>
    </row>
    <row r="937" spans="1:20" x14ac:dyDescent="0.2">
      <c r="A937" s="13"/>
      <c r="B937" s="14"/>
      <c r="C937" s="14"/>
      <c r="D937" s="14"/>
      <c r="E937" s="14"/>
      <c r="F937" s="14"/>
      <c r="G937" s="14"/>
      <c r="H937" s="14"/>
      <c r="I937" s="14"/>
      <c r="J937" s="14"/>
      <c r="K937" s="13"/>
      <c r="L937" s="13"/>
      <c r="M937" s="13"/>
      <c r="N937" s="13"/>
      <c r="O937" s="76"/>
      <c r="P937" s="81"/>
      <c r="Q937" s="123"/>
      <c r="R937" s="123"/>
      <c r="S937" s="123"/>
      <c r="T937" s="13">
        <f>LISTA[[#This Row],[TARIFA OUT ]]+LISTA[[#This Row],[TARIFA IN]]+LISTA[[#This Row],[VALOR FINAL]]</f>
        <v>0</v>
      </c>
    </row>
    <row r="938" spans="1:20" x14ac:dyDescent="0.2">
      <c r="A938" s="13"/>
      <c r="B938" s="14"/>
      <c r="C938" s="14"/>
      <c r="D938" s="14"/>
      <c r="E938" s="14"/>
      <c r="F938" s="14"/>
      <c r="G938" s="14"/>
      <c r="H938" s="14"/>
      <c r="I938" s="14"/>
      <c r="J938" s="14"/>
      <c r="K938" s="13"/>
      <c r="L938" s="13"/>
      <c r="M938" s="13"/>
      <c r="N938" s="13"/>
      <c r="O938" s="76"/>
      <c r="P938" s="81"/>
      <c r="Q938" s="123"/>
      <c r="R938" s="123"/>
      <c r="S938" s="123"/>
      <c r="T938" s="13">
        <f>LISTA[[#This Row],[TARIFA OUT ]]+LISTA[[#This Row],[TARIFA IN]]+LISTA[[#This Row],[VALOR FINAL]]</f>
        <v>0</v>
      </c>
    </row>
    <row r="939" spans="1:20" x14ac:dyDescent="0.2">
      <c r="A939" s="13"/>
      <c r="B939" s="14"/>
      <c r="C939" s="14"/>
      <c r="D939" s="14"/>
      <c r="E939" s="14"/>
      <c r="F939" s="14"/>
      <c r="G939" s="14"/>
      <c r="H939" s="14"/>
      <c r="I939" s="14"/>
      <c r="J939" s="14"/>
      <c r="K939" s="13"/>
      <c r="L939" s="13"/>
      <c r="M939" s="13"/>
      <c r="N939" s="13"/>
      <c r="O939" s="76"/>
      <c r="P939" s="81"/>
      <c r="Q939" s="123"/>
      <c r="R939" s="123"/>
      <c r="S939" s="123"/>
      <c r="T939" s="13">
        <f>LISTA[[#This Row],[TARIFA OUT ]]+LISTA[[#This Row],[TARIFA IN]]+LISTA[[#This Row],[VALOR FINAL]]</f>
        <v>0</v>
      </c>
    </row>
    <row r="940" spans="1:20" x14ac:dyDescent="0.2">
      <c r="A940" s="13"/>
      <c r="B940" s="14"/>
      <c r="C940" s="14"/>
      <c r="D940" s="14"/>
      <c r="E940" s="14"/>
      <c r="F940" s="14"/>
      <c r="G940" s="14"/>
      <c r="H940" s="14"/>
      <c r="I940" s="14"/>
      <c r="J940" s="14"/>
      <c r="K940" s="13"/>
      <c r="L940" s="13"/>
      <c r="M940" s="13"/>
      <c r="N940" s="13"/>
      <c r="O940" s="76"/>
      <c r="P940" s="81"/>
      <c r="Q940" s="123"/>
      <c r="R940" s="123"/>
      <c r="S940" s="123"/>
      <c r="T940" s="13">
        <f>LISTA[[#This Row],[TARIFA OUT ]]+LISTA[[#This Row],[TARIFA IN]]+LISTA[[#This Row],[VALOR FINAL]]</f>
        <v>0</v>
      </c>
    </row>
    <row r="941" spans="1:20" x14ac:dyDescent="0.2">
      <c r="A941" s="13"/>
      <c r="B941" s="14"/>
      <c r="C941" s="14"/>
      <c r="D941" s="14"/>
      <c r="E941" s="14"/>
      <c r="F941" s="14"/>
      <c r="G941" s="14"/>
      <c r="H941" s="14"/>
      <c r="I941" s="14"/>
      <c r="J941" s="14"/>
      <c r="K941" s="13"/>
      <c r="L941" s="13"/>
      <c r="M941" s="13"/>
      <c r="N941" s="13"/>
      <c r="O941" s="76"/>
      <c r="P941" s="81"/>
      <c r="Q941" s="123"/>
      <c r="R941" s="123"/>
      <c r="S941" s="123"/>
      <c r="T941" s="13">
        <f>LISTA[[#This Row],[TARIFA OUT ]]+LISTA[[#This Row],[TARIFA IN]]+LISTA[[#This Row],[VALOR FINAL]]</f>
        <v>0</v>
      </c>
    </row>
    <row r="942" spans="1:20" x14ac:dyDescent="0.2">
      <c r="A942" s="13"/>
      <c r="B942" s="14"/>
      <c r="C942" s="14"/>
      <c r="D942" s="14"/>
      <c r="E942" s="14"/>
      <c r="F942" s="14"/>
      <c r="G942" s="14"/>
      <c r="H942" s="14"/>
      <c r="I942" s="14"/>
      <c r="J942" s="14"/>
      <c r="K942" s="13"/>
      <c r="L942" s="13"/>
      <c r="M942" s="13"/>
      <c r="N942" s="13"/>
      <c r="O942" s="76"/>
      <c r="P942" s="81"/>
      <c r="Q942" s="123"/>
      <c r="R942" s="123"/>
      <c r="S942" s="123"/>
      <c r="T942" s="13">
        <f>LISTA[[#This Row],[TARIFA OUT ]]+LISTA[[#This Row],[TARIFA IN]]+LISTA[[#This Row],[VALOR FINAL]]</f>
        <v>0</v>
      </c>
    </row>
    <row r="943" spans="1:20" x14ac:dyDescent="0.2">
      <c r="A943" s="13"/>
      <c r="B943" s="14"/>
      <c r="C943" s="14"/>
      <c r="D943" s="14"/>
      <c r="E943" s="14"/>
      <c r="F943" s="14"/>
      <c r="G943" s="14"/>
      <c r="H943" s="14"/>
      <c r="I943" s="14"/>
      <c r="J943" s="14"/>
      <c r="K943" s="13"/>
      <c r="L943" s="13"/>
      <c r="M943" s="13"/>
      <c r="N943" s="13"/>
      <c r="O943" s="76"/>
      <c r="P943" s="81"/>
      <c r="Q943" s="123"/>
      <c r="R943" s="123"/>
      <c r="S943" s="123"/>
      <c r="T943" s="13">
        <f>LISTA[[#This Row],[TARIFA OUT ]]+LISTA[[#This Row],[TARIFA IN]]+LISTA[[#This Row],[VALOR FINAL]]</f>
        <v>0</v>
      </c>
    </row>
    <row r="944" spans="1:20" x14ac:dyDescent="0.2">
      <c r="A944" s="13"/>
      <c r="B944" s="14"/>
      <c r="C944" s="14"/>
      <c r="D944" s="14"/>
      <c r="E944" s="14"/>
      <c r="F944" s="14"/>
      <c r="G944" s="14"/>
      <c r="H944" s="14"/>
      <c r="I944" s="14"/>
      <c r="J944" s="14"/>
      <c r="K944" s="13"/>
      <c r="L944" s="13"/>
      <c r="M944" s="13"/>
      <c r="N944" s="13"/>
      <c r="O944" s="76"/>
      <c r="P944" s="81"/>
      <c r="Q944" s="123"/>
      <c r="R944" s="123"/>
      <c r="S944" s="123"/>
      <c r="T944" s="13">
        <f>LISTA[[#This Row],[TARIFA OUT ]]+LISTA[[#This Row],[TARIFA IN]]+LISTA[[#This Row],[VALOR FINAL]]</f>
        <v>0</v>
      </c>
    </row>
    <row r="945" spans="1:20" x14ac:dyDescent="0.2">
      <c r="A945" s="13"/>
      <c r="B945" s="14"/>
      <c r="C945" s="14"/>
      <c r="D945" s="14"/>
      <c r="E945" s="14"/>
      <c r="F945" s="14"/>
      <c r="G945" s="14"/>
      <c r="H945" s="14"/>
      <c r="I945" s="14"/>
      <c r="J945" s="14"/>
      <c r="K945" s="13"/>
      <c r="L945" s="13"/>
      <c r="M945" s="13"/>
      <c r="N945" s="13"/>
      <c r="O945" s="76"/>
      <c r="P945" s="81"/>
      <c r="Q945" s="123"/>
      <c r="R945" s="123"/>
      <c r="S945" s="123"/>
      <c r="T945" s="13">
        <f>LISTA[[#This Row],[TARIFA OUT ]]+LISTA[[#This Row],[TARIFA IN]]+LISTA[[#This Row],[VALOR FINAL]]</f>
        <v>0</v>
      </c>
    </row>
    <row r="946" spans="1:20" x14ac:dyDescent="0.2">
      <c r="A946" s="13"/>
      <c r="B946" s="14"/>
      <c r="C946" s="14"/>
      <c r="D946" s="14"/>
      <c r="E946" s="14"/>
      <c r="F946" s="14"/>
      <c r="G946" s="14"/>
      <c r="H946" s="14"/>
      <c r="I946" s="14"/>
      <c r="J946" s="14"/>
      <c r="K946" s="13"/>
      <c r="L946" s="13"/>
      <c r="M946" s="13"/>
      <c r="N946" s="13"/>
      <c r="O946" s="76"/>
      <c r="P946" s="81"/>
      <c r="Q946" s="123"/>
      <c r="R946" s="123"/>
      <c r="S946" s="123"/>
      <c r="T946" s="13">
        <f>LISTA[[#This Row],[TARIFA OUT ]]+LISTA[[#This Row],[TARIFA IN]]+LISTA[[#This Row],[VALOR FINAL]]</f>
        <v>0</v>
      </c>
    </row>
    <row r="947" spans="1:20" x14ac:dyDescent="0.2">
      <c r="A947" s="13"/>
      <c r="B947" s="14"/>
      <c r="C947" s="14"/>
      <c r="D947" s="14"/>
      <c r="E947" s="14"/>
      <c r="F947" s="14"/>
      <c r="G947" s="14"/>
      <c r="H947" s="14"/>
      <c r="I947" s="14"/>
      <c r="J947" s="14"/>
      <c r="K947" s="13"/>
      <c r="L947" s="13"/>
      <c r="M947" s="13"/>
      <c r="N947" s="13"/>
      <c r="O947" s="76"/>
      <c r="P947" s="81"/>
      <c r="Q947" s="123"/>
      <c r="R947" s="123"/>
      <c r="S947" s="123"/>
      <c r="T947" s="13">
        <f>LISTA[[#This Row],[TARIFA OUT ]]+LISTA[[#This Row],[TARIFA IN]]+LISTA[[#This Row],[VALOR FINAL]]</f>
        <v>0</v>
      </c>
    </row>
    <row r="948" spans="1:20" x14ac:dyDescent="0.2">
      <c r="A948" s="13"/>
      <c r="B948" s="14"/>
      <c r="C948" s="14"/>
      <c r="D948" s="14"/>
      <c r="E948" s="14"/>
      <c r="F948" s="14"/>
      <c r="G948" s="14"/>
      <c r="H948" s="14"/>
      <c r="I948" s="14"/>
      <c r="J948" s="14"/>
      <c r="K948" s="13"/>
      <c r="L948" s="13"/>
      <c r="M948" s="13"/>
      <c r="N948" s="13"/>
      <c r="O948" s="76"/>
      <c r="P948" s="81"/>
      <c r="Q948" s="123"/>
      <c r="R948" s="123"/>
      <c r="S948" s="123"/>
      <c r="T948" s="13">
        <f>LISTA[[#This Row],[TARIFA OUT ]]+LISTA[[#This Row],[TARIFA IN]]+LISTA[[#This Row],[VALOR FINAL]]</f>
        <v>0</v>
      </c>
    </row>
    <row r="949" spans="1:20" x14ac:dyDescent="0.2">
      <c r="A949" s="13"/>
      <c r="B949" s="14"/>
      <c r="C949" s="14"/>
      <c r="D949" s="14"/>
      <c r="E949" s="14"/>
      <c r="F949" s="14"/>
      <c r="G949" s="14"/>
      <c r="H949" s="14"/>
      <c r="I949" s="14"/>
      <c r="J949" s="14"/>
      <c r="K949" s="13"/>
      <c r="L949" s="13"/>
      <c r="M949" s="13"/>
      <c r="N949" s="13"/>
      <c r="O949" s="76"/>
      <c r="P949" s="81"/>
      <c r="Q949" s="123"/>
      <c r="R949" s="123"/>
      <c r="S949" s="123"/>
      <c r="T949" s="13">
        <f>LISTA[[#This Row],[TARIFA OUT ]]+LISTA[[#This Row],[TARIFA IN]]+LISTA[[#This Row],[VALOR FINAL]]</f>
        <v>0</v>
      </c>
    </row>
    <row r="950" spans="1:20" x14ac:dyDescent="0.2">
      <c r="A950" s="13"/>
      <c r="B950" s="14"/>
      <c r="C950" s="14"/>
      <c r="D950" s="14"/>
      <c r="E950" s="14"/>
      <c r="F950" s="14"/>
      <c r="G950" s="14"/>
      <c r="H950" s="14"/>
      <c r="I950" s="14"/>
      <c r="J950" s="14"/>
      <c r="K950" s="13"/>
      <c r="L950" s="13"/>
      <c r="M950" s="13"/>
      <c r="N950" s="13"/>
      <c r="O950" s="76"/>
      <c r="P950" s="81"/>
      <c r="Q950" s="123"/>
      <c r="R950" s="123"/>
      <c r="S950" s="123"/>
      <c r="T950" s="13">
        <f>LISTA[[#This Row],[TARIFA OUT ]]+LISTA[[#This Row],[TARIFA IN]]+LISTA[[#This Row],[VALOR FINAL]]</f>
        <v>0</v>
      </c>
    </row>
    <row r="951" spans="1:20" x14ac:dyDescent="0.2">
      <c r="A951" s="13"/>
      <c r="B951" s="14"/>
      <c r="C951" s="14"/>
      <c r="D951" s="14"/>
      <c r="E951" s="14"/>
      <c r="F951" s="14"/>
      <c r="G951" s="14"/>
      <c r="H951" s="14"/>
      <c r="I951" s="14"/>
      <c r="J951" s="14"/>
      <c r="K951" s="13"/>
      <c r="L951" s="13"/>
      <c r="M951" s="13"/>
      <c r="N951" s="13"/>
      <c r="O951" s="76"/>
      <c r="P951" s="81"/>
      <c r="Q951" s="123"/>
      <c r="R951" s="123"/>
      <c r="S951" s="123"/>
      <c r="T951" s="13">
        <f>LISTA[[#This Row],[TARIFA OUT ]]+LISTA[[#This Row],[TARIFA IN]]+LISTA[[#This Row],[VALOR FINAL]]</f>
        <v>0</v>
      </c>
    </row>
    <row r="952" spans="1:20" x14ac:dyDescent="0.2">
      <c r="A952" s="13"/>
      <c r="B952" s="14"/>
      <c r="C952" s="14"/>
      <c r="D952" s="14"/>
      <c r="E952" s="14"/>
      <c r="F952" s="14"/>
      <c r="G952" s="14"/>
      <c r="H952" s="14"/>
      <c r="I952" s="14"/>
      <c r="J952" s="14"/>
      <c r="K952" s="13"/>
      <c r="L952" s="13"/>
      <c r="M952" s="13"/>
      <c r="N952" s="13"/>
      <c r="O952" s="76"/>
      <c r="P952" s="81"/>
      <c r="Q952" s="123"/>
      <c r="R952" s="123"/>
      <c r="S952" s="123"/>
      <c r="T952" s="13">
        <f>LISTA[[#This Row],[TARIFA OUT ]]+LISTA[[#This Row],[TARIFA IN]]+LISTA[[#This Row],[VALOR FINAL]]</f>
        <v>0</v>
      </c>
    </row>
    <row r="953" spans="1:20" x14ac:dyDescent="0.2">
      <c r="A953" s="13"/>
      <c r="B953" s="14"/>
      <c r="C953" s="14"/>
      <c r="D953" s="14"/>
      <c r="E953" s="14"/>
      <c r="F953" s="14"/>
      <c r="G953" s="14"/>
      <c r="H953" s="14"/>
      <c r="I953" s="14"/>
      <c r="J953" s="14"/>
      <c r="K953" s="13"/>
      <c r="L953" s="13"/>
      <c r="M953" s="13"/>
      <c r="N953" s="13"/>
      <c r="O953" s="76"/>
      <c r="P953" s="81"/>
      <c r="Q953" s="123"/>
      <c r="R953" s="123"/>
      <c r="S953" s="123"/>
      <c r="T953" s="13">
        <f>LISTA[[#This Row],[TARIFA OUT ]]+LISTA[[#This Row],[TARIFA IN]]+LISTA[[#This Row],[VALOR FINAL]]</f>
        <v>0</v>
      </c>
    </row>
    <row r="954" spans="1:20" x14ac:dyDescent="0.2">
      <c r="A954" s="13"/>
      <c r="B954" s="14"/>
      <c r="C954" s="14"/>
      <c r="D954" s="14"/>
      <c r="E954" s="14"/>
      <c r="F954" s="14"/>
      <c r="G954" s="14"/>
      <c r="H954" s="14"/>
      <c r="I954" s="14"/>
      <c r="J954" s="14"/>
      <c r="K954" s="13"/>
      <c r="L954" s="13"/>
      <c r="M954" s="13"/>
      <c r="N954" s="13"/>
      <c r="O954" s="76"/>
      <c r="P954" s="81"/>
      <c r="Q954" s="123"/>
      <c r="R954" s="123"/>
      <c r="S954" s="123"/>
      <c r="T954" s="13">
        <f>LISTA[[#This Row],[TARIFA OUT ]]+LISTA[[#This Row],[TARIFA IN]]+LISTA[[#This Row],[VALOR FINAL]]</f>
        <v>0</v>
      </c>
    </row>
    <row r="955" spans="1:20" x14ac:dyDescent="0.2">
      <c r="A955" s="13"/>
      <c r="B955" s="14"/>
      <c r="C955" s="14"/>
      <c r="D955" s="14"/>
      <c r="E955" s="14"/>
      <c r="F955" s="14"/>
      <c r="G955" s="14"/>
      <c r="H955" s="14"/>
      <c r="I955" s="14"/>
      <c r="J955" s="14"/>
      <c r="K955" s="13"/>
      <c r="L955" s="13"/>
      <c r="M955" s="13"/>
      <c r="N955" s="13"/>
      <c r="O955" s="76"/>
      <c r="P955" s="81"/>
      <c r="Q955" s="123"/>
      <c r="R955" s="123"/>
      <c r="S955" s="123"/>
      <c r="T955" s="13">
        <f>LISTA[[#This Row],[TARIFA OUT ]]+LISTA[[#This Row],[TARIFA IN]]+LISTA[[#This Row],[VALOR FINAL]]</f>
        <v>0</v>
      </c>
    </row>
    <row r="956" spans="1:20" x14ac:dyDescent="0.2">
      <c r="A956" s="13"/>
      <c r="B956" s="14"/>
      <c r="C956" s="14"/>
      <c r="D956" s="14"/>
      <c r="E956" s="14"/>
      <c r="F956" s="14"/>
      <c r="G956" s="14"/>
      <c r="H956" s="14"/>
      <c r="I956" s="14"/>
      <c r="J956" s="14"/>
      <c r="K956" s="13"/>
      <c r="L956" s="13"/>
      <c r="M956" s="13"/>
      <c r="N956" s="13"/>
      <c r="O956" s="76"/>
      <c r="P956" s="81"/>
      <c r="Q956" s="123"/>
      <c r="R956" s="123"/>
      <c r="S956" s="123"/>
      <c r="T956" s="13">
        <f>LISTA[[#This Row],[TARIFA OUT ]]+LISTA[[#This Row],[TARIFA IN]]+LISTA[[#This Row],[VALOR FINAL]]</f>
        <v>0</v>
      </c>
    </row>
    <row r="957" spans="1:20" x14ac:dyDescent="0.2">
      <c r="A957" s="13"/>
      <c r="B957" s="14"/>
      <c r="C957" s="14"/>
      <c r="D957" s="14"/>
      <c r="E957" s="14"/>
      <c r="F957" s="14"/>
      <c r="G957" s="14"/>
      <c r="H957" s="14"/>
      <c r="I957" s="14"/>
      <c r="J957" s="14"/>
      <c r="K957" s="13"/>
      <c r="L957" s="13"/>
      <c r="M957" s="13"/>
      <c r="N957" s="13"/>
      <c r="O957" s="76"/>
      <c r="P957" s="81"/>
      <c r="Q957" s="123"/>
      <c r="R957" s="123"/>
      <c r="S957" s="123"/>
      <c r="T957" s="13">
        <f>LISTA[[#This Row],[TARIFA OUT ]]+LISTA[[#This Row],[TARIFA IN]]+LISTA[[#This Row],[VALOR FINAL]]</f>
        <v>0</v>
      </c>
    </row>
    <row r="958" spans="1:20" x14ac:dyDescent="0.2">
      <c r="A958" s="13"/>
      <c r="B958" s="14"/>
      <c r="C958" s="14"/>
      <c r="D958" s="14"/>
      <c r="E958" s="14"/>
      <c r="F958" s="14"/>
      <c r="G958" s="14"/>
      <c r="H958" s="14"/>
      <c r="I958" s="14"/>
      <c r="J958" s="14"/>
      <c r="K958" s="13"/>
      <c r="L958" s="13"/>
      <c r="M958" s="13"/>
      <c r="N958" s="13"/>
      <c r="O958" s="76"/>
      <c r="P958" s="81"/>
      <c r="Q958" s="123"/>
      <c r="R958" s="123"/>
      <c r="S958" s="123"/>
      <c r="T958" s="13">
        <f>LISTA[[#This Row],[TARIFA OUT ]]+LISTA[[#This Row],[TARIFA IN]]+LISTA[[#This Row],[VALOR FINAL]]</f>
        <v>0</v>
      </c>
    </row>
    <row r="959" spans="1:20" x14ac:dyDescent="0.2">
      <c r="A959" s="13"/>
      <c r="B959" s="14"/>
      <c r="C959" s="14"/>
      <c r="D959" s="14"/>
      <c r="E959" s="14"/>
      <c r="F959" s="14"/>
      <c r="G959" s="14"/>
      <c r="H959" s="14"/>
      <c r="I959" s="14"/>
      <c r="J959" s="14"/>
      <c r="K959" s="13"/>
      <c r="L959" s="13"/>
      <c r="M959" s="13"/>
      <c r="N959" s="13"/>
      <c r="O959" s="76"/>
      <c r="P959" s="81"/>
      <c r="Q959" s="123"/>
      <c r="R959" s="123"/>
      <c r="S959" s="123"/>
      <c r="T959" s="13">
        <f>LISTA[[#This Row],[TARIFA OUT ]]+LISTA[[#This Row],[TARIFA IN]]+LISTA[[#This Row],[VALOR FINAL]]</f>
        <v>0</v>
      </c>
    </row>
    <row r="960" spans="1:20" x14ac:dyDescent="0.2">
      <c r="A960" s="13"/>
      <c r="B960" s="14"/>
      <c r="C960" s="14"/>
      <c r="D960" s="14"/>
      <c r="E960" s="14"/>
      <c r="F960" s="14"/>
      <c r="G960" s="14"/>
      <c r="H960" s="14"/>
      <c r="I960" s="14"/>
      <c r="J960" s="14"/>
      <c r="K960" s="13"/>
      <c r="L960" s="13"/>
      <c r="M960" s="13"/>
      <c r="N960" s="13"/>
      <c r="O960" s="76"/>
      <c r="P960" s="81"/>
      <c r="Q960" s="123"/>
      <c r="R960" s="123"/>
      <c r="S960" s="123"/>
      <c r="T960" s="13">
        <f>LISTA[[#This Row],[TARIFA OUT ]]+LISTA[[#This Row],[TARIFA IN]]+LISTA[[#This Row],[VALOR FINAL]]</f>
        <v>0</v>
      </c>
    </row>
    <row r="961" spans="1:20" x14ac:dyDescent="0.2">
      <c r="A961" s="13"/>
      <c r="B961" s="14"/>
      <c r="C961" s="14"/>
      <c r="D961" s="14"/>
      <c r="E961" s="14"/>
      <c r="F961" s="14"/>
      <c r="G961" s="14"/>
      <c r="H961" s="14"/>
      <c r="I961" s="14"/>
      <c r="J961" s="14"/>
      <c r="K961" s="13"/>
      <c r="L961" s="13"/>
      <c r="M961" s="13"/>
      <c r="N961" s="13"/>
      <c r="O961" s="76"/>
      <c r="P961" s="81"/>
      <c r="Q961" s="123"/>
      <c r="R961" s="123"/>
      <c r="S961" s="123"/>
      <c r="T961" s="13">
        <f>LISTA[[#This Row],[TARIFA OUT ]]+LISTA[[#This Row],[TARIFA IN]]+LISTA[[#This Row],[VALOR FINAL]]</f>
        <v>0</v>
      </c>
    </row>
    <row r="962" spans="1:20" x14ac:dyDescent="0.2">
      <c r="A962" s="13"/>
      <c r="B962" s="14"/>
      <c r="C962" s="14"/>
      <c r="D962" s="14"/>
      <c r="E962" s="14"/>
      <c r="F962" s="14"/>
      <c r="G962" s="14"/>
      <c r="H962" s="14"/>
      <c r="I962" s="14"/>
      <c r="J962" s="14"/>
      <c r="K962" s="13"/>
      <c r="L962" s="13"/>
      <c r="M962" s="13"/>
      <c r="N962" s="13"/>
      <c r="O962" s="76"/>
      <c r="P962" s="81"/>
      <c r="Q962" s="123"/>
      <c r="R962" s="123"/>
      <c r="S962" s="123"/>
      <c r="T962" s="13">
        <f>LISTA[[#This Row],[TARIFA OUT ]]+LISTA[[#This Row],[TARIFA IN]]+LISTA[[#This Row],[VALOR FINAL]]</f>
        <v>0</v>
      </c>
    </row>
    <row r="963" spans="1:20" x14ac:dyDescent="0.2">
      <c r="A963" s="13"/>
      <c r="B963" s="14"/>
      <c r="C963" s="14"/>
      <c r="D963" s="14"/>
      <c r="E963" s="14"/>
      <c r="F963" s="14"/>
      <c r="G963" s="14"/>
      <c r="H963" s="14"/>
      <c r="I963" s="14"/>
      <c r="J963" s="14"/>
      <c r="K963" s="13"/>
      <c r="L963" s="13"/>
      <c r="M963" s="13"/>
      <c r="N963" s="13"/>
      <c r="O963" s="76"/>
      <c r="P963" s="81"/>
      <c r="Q963" s="123"/>
      <c r="R963" s="123"/>
      <c r="S963" s="123"/>
      <c r="T963" s="13">
        <f>LISTA[[#This Row],[TARIFA OUT ]]+LISTA[[#This Row],[TARIFA IN]]+LISTA[[#This Row],[VALOR FINAL]]</f>
        <v>0</v>
      </c>
    </row>
    <row r="964" spans="1:20" x14ac:dyDescent="0.2">
      <c r="A964" s="15"/>
      <c r="B964" s="16"/>
      <c r="C964" s="16"/>
      <c r="D964" s="16"/>
      <c r="E964" s="16"/>
      <c r="F964" s="16"/>
      <c r="G964" s="16"/>
      <c r="H964" s="16"/>
      <c r="I964" s="16"/>
      <c r="J964" s="16"/>
      <c r="K964" s="15"/>
      <c r="L964" s="15"/>
      <c r="M964" s="15"/>
      <c r="N964" s="15"/>
      <c r="O964" s="76"/>
      <c r="P964" s="82"/>
      <c r="Q964" s="123"/>
      <c r="R964" s="183"/>
      <c r="S964" s="183"/>
      <c r="T964" s="13">
        <f>LISTA[[#This Row],[TARIFA OUT ]]+LISTA[[#This Row],[TARIFA IN]]+LISTA[[#This Row],[VALOR FINAL]]</f>
        <v>0</v>
      </c>
    </row>
    <row r="965" spans="1:20" ht="26.45" customHeight="1" x14ac:dyDescent="0.2">
      <c r="A965" s="19"/>
      <c r="B965" s="185"/>
      <c r="C965" s="19"/>
      <c r="D965" s="19">
        <f>SUBTOTAL(103,LISTA[NRO DE REMITO])</f>
        <v>512</v>
      </c>
      <c r="E965" s="19"/>
      <c r="F965" s="19"/>
      <c r="G965" s="19"/>
      <c r="H965" s="19"/>
      <c r="I965" s="19"/>
      <c r="J965" s="19"/>
      <c r="K965" s="18">
        <f>SUBTOTAL(109,LISTA[[TARIFA ]])</f>
        <v>6426090.0199999781</v>
      </c>
      <c r="L965" s="18">
        <f>SUBTOTAL(109,LISTA[TARIFA CABA])</f>
        <v>2340427.7438999978</v>
      </c>
      <c r="M965" s="191">
        <f>SUBTOTAL(109,LISTA[TARIFA INTERIOR])</f>
        <v>1510321.8159000003</v>
      </c>
      <c r="N965" s="18">
        <f>SUBTOTAL(109,LISTA[TARIFA DESCONSOLIDADO])</f>
        <v>0</v>
      </c>
      <c r="O965" s="18">
        <f>SUBTOTAL(109,LISTA[VALOR FINAL])</f>
        <v>10233762.423899977</v>
      </c>
      <c r="P965" s="18"/>
      <c r="Q965" s="19"/>
      <c r="R965" s="186"/>
      <c r="S965" s="186"/>
      <c r="T965" s="187">
        <f>SUBTOTAL(109,LISTA[TOTAL])</f>
        <v>11075536.594442232</v>
      </c>
    </row>
    <row r="966" spans="1:20" x14ac:dyDescent="0.2">
      <c r="M966" s="192"/>
    </row>
    <row r="980" spans="16:17" x14ac:dyDescent="0.2">
      <c r="P980" s="12" t="s">
        <v>810</v>
      </c>
      <c r="Q980" s="12">
        <v>10182316.970000001</v>
      </c>
    </row>
    <row r="981" spans="16:17" x14ac:dyDescent="0.2">
      <c r="P981" s="12" t="s">
        <v>811</v>
      </c>
      <c r="Q981" s="12">
        <v>10182316.5</v>
      </c>
    </row>
    <row r="982" spans="16:17" x14ac:dyDescent="0.2">
      <c r="Q982" s="12">
        <f>Q981-Q980</f>
        <v>-0.47000000067055225</v>
      </c>
    </row>
    <row r="983" spans="16:17" x14ac:dyDescent="0.2">
      <c r="Q983" s="12" t="s">
        <v>4</v>
      </c>
    </row>
  </sheetData>
  <mergeCells count="1">
    <mergeCell ref="D1:L1"/>
  </mergeCells>
  <hyperlinks>
    <hyperlink ref="D1:L1" location="INDEX!A1" display="BASE DE DATOS VIAJES" xr:uid="{27EE5174-64AB-4018-B14B-7E59CE901CBE}"/>
  </hyperlinks>
  <pageMargins left="0.25" right="0.25" top="0.75" bottom="0.75" header="0.3" footer="0.3"/>
  <pageSetup paperSize="9" scale="10" orientation="landscape" verticalDpi="3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E418-86D9-461B-9EA4-E7BB5A32828C}">
  <sheetPr codeName="Hoja2"/>
  <dimension ref="A1:N100"/>
  <sheetViews>
    <sheetView zoomScale="110" zoomScaleNormal="110" workbookViewId="0">
      <selection activeCell="A4" sqref="A4"/>
    </sheetView>
  </sheetViews>
  <sheetFormatPr baseColWidth="10" defaultRowHeight="12.75" x14ac:dyDescent="0.2"/>
  <cols>
    <col min="1" max="1" width="14" customWidth="1"/>
    <col min="2" max="2" width="27.28515625" bestFit="1" customWidth="1"/>
    <col min="3" max="3" width="16.7109375" customWidth="1"/>
    <col min="4" max="4" width="27.85546875" bestFit="1" customWidth="1"/>
    <col min="5" max="5" width="42.85546875" customWidth="1"/>
    <col min="6" max="6" width="35.5703125" customWidth="1"/>
    <col min="7" max="7" width="18" style="121" customWidth="1"/>
    <col min="8" max="8" width="18.5703125" style="121" hidden="1" customWidth="1"/>
    <col min="9" max="9" width="11.5703125" style="121" hidden="1" customWidth="1"/>
    <col min="10" max="10" width="27.5703125" customWidth="1"/>
    <col min="11" max="11" width="18.28515625" customWidth="1"/>
    <col min="12" max="12" width="18.85546875" customWidth="1"/>
    <col min="13" max="13" width="18.28515625" customWidth="1"/>
    <col min="14" max="14" width="23.85546875" customWidth="1"/>
  </cols>
  <sheetData>
    <row r="1" spans="1:14" s="122" customFormat="1" ht="83.25" customHeight="1" x14ac:dyDescent="0.2">
      <c r="A1" s="266" t="s">
        <v>61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</row>
    <row r="2" spans="1:14" s="17" customFormat="1" ht="42" customHeight="1" x14ac:dyDescent="0.2">
      <c r="A2" s="126" t="s">
        <v>62</v>
      </c>
      <c r="B2" s="126" t="s">
        <v>23</v>
      </c>
      <c r="C2" s="126" t="s">
        <v>54</v>
      </c>
      <c r="D2" s="126" t="s">
        <v>55</v>
      </c>
      <c r="E2" s="126" t="s">
        <v>5</v>
      </c>
      <c r="F2" s="126" t="s">
        <v>6</v>
      </c>
      <c r="G2" s="126" t="s">
        <v>22</v>
      </c>
      <c r="H2" s="126" t="s">
        <v>57</v>
      </c>
      <c r="I2" s="126" t="s">
        <v>56</v>
      </c>
      <c r="J2" s="126" t="s">
        <v>113</v>
      </c>
      <c r="K2" s="126" t="s">
        <v>115</v>
      </c>
      <c r="L2" s="126" t="s">
        <v>58</v>
      </c>
      <c r="M2" s="126" t="s">
        <v>59</v>
      </c>
      <c r="N2" s="126" t="s">
        <v>60</v>
      </c>
    </row>
    <row r="3" spans="1:14" x14ac:dyDescent="0.2">
      <c r="A3" s="124">
        <v>44</v>
      </c>
      <c r="B3" s="124" t="s">
        <v>373</v>
      </c>
      <c r="C3" s="125">
        <v>44876</v>
      </c>
      <c r="D3" s="124" t="s">
        <v>250</v>
      </c>
      <c r="E3" s="124" t="s">
        <v>192</v>
      </c>
      <c r="F3" s="124" t="s">
        <v>193</v>
      </c>
      <c r="G3" s="124">
        <v>5329.74</v>
      </c>
      <c r="H3" s="124"/>
      <c r="I3" s="124"/>
      <c r="J3" s="155">
        <v>87940.71</v>
      </c>
      <c r="K3" s="127">
        <v>50160</v>
      </c>
      <c r="L3" s="124" t="str">
        <f>IF(Tabla3[[#This Row],[IMPORTE EXPRESO]]&lt;&gt;"","PAGO","PENDIENTE")</f>
        <v>PAGO</v>
      </c>
      <c r="M3" s="125"/>
      <c r="N3" s="124"/>
    </row>
    <row r="4" spans="1:14" x14ac:dyDescent="0.2">
      <c r="A4" s="124">
        <v>45</v>
      </c>
      <c r="B4" s="124" t="s">
        <v>206</v>
      </c>
      <c r="C4" s="125">
        <v>44876</v>
      </c>
      <c r="D4" s="124" t="s">
        <v>251</v>
      </c>
      <c r="E4" s="124" t="s">
        <v>199</v>
      </c>
      <c r="F4" s="124" t="s">
        <v>200</v>
      </c>
      <c r="G4" s="124">
        <v>893.76</v>
      </c>
      <c r="H4" s="124"/>
      <c r="I4" s="124"/>
      <c r="J4" s="155">
        <v>13978.41</v>
      </c>
      <c r="K4" s="127"/>
      <c r="L4" s="124" t="str">
        <f>IF(Tabla3[[#This Row],[IMPORTE EXPRESO]]&lt;&gt;"","PAGO","PENDIENTE")</f>
        <v>PENDIENTE</v>
      </c>
      <c r="M4" s="125"/>
      <c r="N4" s="124"/>
    </row>
    <row r="5" spans="1:14" x14ac:dyDescent="0.2">
      <c r="A5" s="124">
        <v>46</v>
      </c>
      <c r="B5" s="124" t="s">
        <v>162</v>
      </c>
      <c r="C5" s="125">
        <v>44876</v>
      </c>
      <c r="D5" s="124" t="s">
        <v>252</v>
      </c>
      <c r="E5" s="124" t="s">
        <v>174</v>
      </c>
      <c r="F5" s="124" t="s">
        <v>253</v>
      </c>
      <c r="G5" s="124">
        <v>201.6</v>
      </c>
      <c r="H5" s="124"/>
      <c r="I5" s="124"/>
      <c r="J5" s="155">
        <v>5221.4399999999996</v>
      </c>
      <c r="K5" s="127"/>
      <c r="L5" s="124" t="str">
        <f>IF(Tabla3[[#This Row],[IMPORTE EXPRESO]]&lt;&gt;"","PAGO","PENDIENTE")</f>
        <v>PENDIENTE</v>
      </c>
      <c r="M5" s="125"/>
      <c r="N5" s="124"/>
    </row>
    <row r="6" spans="1:14" x14ac:dyDescent="0.2">
      <c r="A6" s="124">
        <v>47</v>
      </c>
      <c r="B6" s="124" t="s">
        <v>190</v>
      </c>
      <c r="C6" s="125">
        <v>44876</v>
      </c>
      <c r="D6" s="124" t="s">
        <v>254</v>
      </c>
      <c r="E6" s="124" t="s">
        <v>189</v>
      </c>
      <c r="F6" s="124" t="s">
        <v>191</v>
      </c>
      <c r="G6" s="124">
        <v>2158.4499999999998</v>
      </c>
      <c r="H6" s="124"/>
      <c r="I6" s="124"/>
      <c r="J6" s="155">
        <v>41873.93</v>
      </c>
      <c r="K6" s="127"/>
      <c r="L6" s="124" t="str">
        <f>IF(Tabla3[[#This Row],[IMPORTE EXPRESO]]&lt;&gt;"","PAGO","PENDIENTE")</f>
        <v>PENDIENTE</v>
      </c>
      <c r="M6" s="125"/>
      <c r="N6" s="124"/>
    </row>
    <row r="7" spans="1:14" x14ac:dyDescent="0.2">
      <c r="A7" s="124">
        <v>48</v>
      </c>
      <c r="B7" s="124" t="s">
        <v>206</v>
      </c>
      <c r="C7" s="125">
        <v>44876</v>
      </c>
      <c r="D7" s="124" t="s">
        <v>255</v>
      </c>
      <c r="E7" s="124" t="s">
        <v>199</v>
      </c>
      <c r="F7" s="124" t="s">
        <v>200</v>
      </c>
      <c r="G7" s="124">
        <v>1825.96</v>
      </c>
      <c r="H7" s="124"/>
      <c r="I7" s="124"/>
      <c r="J7" s="155">
        <v>28430.2</v>
      </c>
      <c r="K7" s="127"/>
      <c r="L7" s="124" t="str">
        <f>IF(Tabla3[[#This Row],[IMPORTE EXPRESO]]&lt;&gt;"","PAGO","PENDIENTE")</f>
        <v>PENDIENTE</v>
      </c>
      <c r="M7" s="125"/>
      <c r="N7" s="124"/>
    </row>
    <row r="8" spans="1:14" x14ac:dyDescent="0.2">
      <c r="A8" s="124">
        <v>49</v>
      </c>
      <c r="B8" s="124" t="s">
        <v>373</v>
      </c>
      <c r="C8" s="125">
        <v>44876</v>
      </c>
      <c r="D8" s="124" t="s">
        <v>256</v>
      </c>
      <c r="E8" s="124" t="s">
        <v>175</v>
      </c>
      <c r="F8" s="124" t="s">
        <v>176</v>
      </c>
      <c r="G8" s="124">
        <v>18.559999999999999</v>
      </c>
      <c r="H8" s="124"/>
      <c r="I8" s="124"/>
      <c r="J8" s="155">
        <v>2715.39</v>
      </c>
      <c r="K8" s="127"/>
      <c r="L8" s="124" t="str">
        <f>IF(Tabla3[[#This Row],[IMPORTE EXPRESO]]&lt;&gt;"","PAGO","PENDIENTE")</f>
        <v>PENDIENTE</v>
      </c>
      <c r="M8" s="125"/>
      <c r="N8" s="124"/>
    </row>
    <row r="9" spans="1:14" x14ac:dyDescent="0.2">
      <c r="A9" s="124">
        <v>50</v>
      </c>
      <c r="B9" s="124" t="s">
        <v>259</v>
      </c>
      <c r="C9" s="125">
        <v>44876</v>
      </c>
      <c r="D9" s="124" t="s">
        <v>257</v>
      </c>
      <c r="E9" s="124" t="s">
        <v>258</v>
      </c>
      <c r="F9" s="124" t="s">
        <v>260</v>
      </c>
      <c r="G9" s="124">
        <v>1409.66</v>
      </c>
      <c r="H9" s="124"/>
      <c r="I9" s="124"/>
      <c r="J9" s="155">
        <v>21116.71</v>
      </c>
      <c r="K9" s="127"/>
      <c r="L9" s="124" t="str">
        <f>IF(Tabla3[[#This Row],[IMPORTE EXPRESO]]&lt;&gt;"","PAGO","PENDIENTE")</f>
        <v>PENDIENTE</v>
      </c>
      <c r="M9" s="125"/>
      <c r="N9" s="124"/>
    </row>
    <row r="10" spans="1:14" x14ac:dyDescent="0.2">
      <c r="A10" s="124">
        <v>51</v>
      </c>
      <c r="B10" s="124" t="s">
        <v>263</v>
      </c>
      <c r="C10" s="125">
        <v>44876</v>
      </c>
      <c r="D10" s="124" t="s">
        <v>261</v>
      </c>
      <c r="E10" s="124" t="s">
        <v>262</v>
      </c>
      <c r="F10" s="124" t="s">
        <v>264</v>
      </c>
      <c r="G10" s="124">
        <v>1364.52</v>
      </c>
      <c r="H10" s="124"/>
      <c r="I10" s="124"/>
      <c r="J10" s="155">
        <v>25748.49</v>
      </c>
      <c r="K10" s="127"/>
      <c r="L10" s="124" t="str">
        <f>IF(Tabla3[[#This Row],[IMPORTE EXPRESO]]&lt;&gt;"","PAGO","PENDIENTE")</f>
        <v>PENDIENTE</v>
      </c>
      <c r="M10" s="125"/>
      <c r="N10" s="124"/>
    </row>
    <row r="11" spans="1:14" x14ac:dyDescent="0.2">
      <c r="A11" s="124">
        <v>101</v>
      </c>
      <c r="B11" s="124" t="s">
        <v>130</v>
      </c>
      <c r="C11" s="125">
        <v>44879</v>
      </c>
      <c r="D11" s="124" t="s">
        <v>313</v>
      </c>
      <c r="E11" s="124" t="s">
        <v>314</v>
      </c>
      <c r="F11" s="124" t="s">
        <v>315</v>
      </c>
      <c r="G11" s="124">
        <v>948</v>
      </c>
      <c r="H11" s="124"/>
      <c r="I11" s="124"/>
      <c r="J11" s="155">
        <v>19585.68</v>
      </c>
      <c r="K11" s="127"/>
      <c r="L11" s="124" t="str">
        <f>IF(Tabla3[[#This Row],[IMPORTE EXPRESO]]&lt;&gt;"","PAGO","PENDIENTE")</f>
        <v>PENDIENTE</v>
      </c>
      <c r="M11" s="125"/>
      <c r="N11" s="124"/>
    </row>
    <row r="12" spans="1:14" x14ac:dyDescent="0.2">
      <c r="A12" s="124">
        <v>104</v>
      </c>
      <c r="B12" s="124" t="s">
        <v>130</v>
      </c>
      <c r="C12" s="125">
        <v>44879</v>
      </c>
      <c r="D12" s="124" t="s">
        <v>318</v>
      </c>
      <c r="E12" s="124" t="s">
        <v>314</v>
      </c>
      <c r="F12" s="124" t="s">
        <v>319</v>
      </c>
      <c r="G12" s="124">
        <v>2844</v>
      </c>
      <c r="H12" s="124"/>
      <c r="I12" s="124"/>
      <c r="J12" s="155">
        <v>57846.96</v>
      </c>
      <c r="K12" s="127"/>
      <c r="L12" s="124" t="str">
        <f>IF(Tabla3[[#This Row],[IMPORTE EXPRESO]]&lt;&gt;"","PAGO","PENDIENTE")</f>
        <v>PENDIENTE</v>
      </c>
      <c r="M12" s="125"/>
      <c r="N12" s="124"/>
    </row>
    <row r="13" spans="1:14" x14ac:dyDescent="0.2">
      <c r="A13" s="124">
        <v>106</v>
      </c>
      <c r="B13" s="124" t="s">
        <v>130</v>
      </c>
      <c r="C13" s="125">
        <v>44879</v>
      </c>
      <c r="D13" s="124" t="s">
        <v>321</v>
      </c>
      <c r="E13" s="124" t="s">
        <v>314</v>
      </c>
      <c r="F13" s="124" t="s">
        <v>315</v>
      </c>
      <c r="G13" s="124">
        <v>948</v>
      </c>
      <c r="H13" s="124"/>
      <c r="I13" s="124"/>
      <c r="J13" s="155">
        <v>19585.68</v>
      </c>
      <c r="K13" s="127"/>
      <c r="L13" s="124" t="str">
        <f>IF(Tabla3[[#This Row],[IMPORTE EXPRESO]]&lt;&gt;"","PAGO","PENDIENTE")</f>
        <v>PENDIENTE</v>
      </c>
      <c r="M13" s="125"/>
      <c r="N13" s="124"/>
    </row>
    <row r="14" spans="1:14" x14ac:dyDescent="0.2">
      <c r="A14" s="124">
        <v>108</v>
      </c>
      <c r="B14" s="124" t="s">
        <v>119</v>
      </c>
      <c r="C14" s="125">
        <v>44879</v>
      </c>
      <c r="D14" s="124" t="s">
        <v>325</v>
      </c>
      <c r="E14" s="124" t="s">
        <v>326</v>
      </c>
      <c r="F14" s="124" t="s">
        <v>328</v>
      </c>
      <c r="G14" s="124">
        <v>191.68</v>
      </c>
      <c r="H14" s="124"/>
      <c r="I14" s="124"/>
      <c r="J14" s="155">
        <v>2997.88</v>
      </c>
      <c r="K14" s="127"/>
      <c r="L14" s="124" t="str">
        <f>IF(Tabla3[[#This Row],[IMPORTE EXPRESO]]&lt;&gt;"","PAGO","PENDIENTE")</f>
        <v>PENDIENTE</v>
      </c>
      <c r="M14" s="125"/>
      <c r="N14" s="124"/>
    </row>
    <row r="15" spans="1:14" x14ac:dyDescent="0.2">
      <c r="A15" s="124">
        <v>110</v>
      </c>
      <c r="B15" s="124" t="s">
        <v>334</v>
      </c>
      <c r="C15" s="125">
        <v>44879</v>
      </c>
      <c r="D15" s="124" t="s">
        <v>332</v>
      </c>
      <c r="E15" s="124" t="s">
        <v>333</v>
      </c>
      <c r="F15" s="124" t="s">
        <v>335</v>
      </c>
      <c r="G15" s="124">
        <v>749.76</v>
      </c>
      <c r="H15" s="124"/>
      <c r="I15" s="124"/>
      <c r="J15" s="155">
        <v>22710.23</v>
      </c>
      <c r="K15" s="127"/>
      <c r="L15" s="124" t="str">
        <f>IF(Tabla3[[#This Row],[IMPORTE EXPRESO]]&lt;&gt;"","PAGO","PENDIENTE")</f>
        <v>PENDIENTE</v>
      </c>
      <c r="M15" s="125"/>
      <c r="N15" s="124"/>
    </row>
    <row r="16" spans="1:14" x14ac:dyDescent="0.2">
      <c r="A16" s="124">
        <v>111</v>
      </c>
      <c r="B16" s="124" t="s">
        <v>130</v>
      </c>
      <c r="C16" s="125">
        <v>44879</v>
      </c>
      <c r="D16" s="124" t="s">
        <v>336</v>
      </c>
      <c r="E16" s="124" t="s">
        <v>337</v>
      </c>
      <c r="F16" s="124" t="s">
        <v>319</v>
      </c>
      <c r="G16" s="124">
        <v>381.68</v>
      </c>
      <c r="H16" s="124"/>
      <c r="I16" s="124"/>
      <c r="J16" s="155">
        <v>7797.72</v>
      </c>
      <c r="K16" s="127"/>
      <c r="L16" s="124" t="str">
        <f>IF(Tabla3[[#This Row],[IMPORTE EXPRESO]]&lt;&gt;"","PAGO","PENDIENTE")</f>
        <v>PENDIENTE</v>
      </c>
      <c r="M16" s="125"/>
      <c r="N16" s="124"/>
    </row>
    <row r="17" spans="1:14" x14ac:dyDescent="0.2">
      <c r="A17" s="124">
        <v>112</v>
      </c>
      <c r="B17" s="124" t="s">
        <v>130</v>
      </c>
      <c r="C17" s="125">
        <v>44879</v>
      </c>
      <c r="D17" s="124" t="s">
        <v>338</v>
      </c>
      <c r="E17" s="124" t="s">
        <v>314</v>
      </c>
      <c r="F17" s="124" t="s">
        <v>319</v>
      </c>
      <c r="G17" s="124">
        <v>982.98</v>
      </c>
      <c r="H17" s="124"/>
      <c r="I17" s="124"/>
      <c r="J17" s="155">
        <v>20082.28</v>
      </c>
      <c r="K17" s="127"/>
      <c r="L17" s="124" t="str">
        <f>IF(Tabla3[[#This Row],[IMPORTE EXPRESO]]&lt;&gt;"","PAGO","PENDIENTE")</f>
        <v>PENDIENTE</v>
      </c>
      <c r="M17" s="125"/>
      <c r="N17" s="124"/>
    </row>
    <row r="18" spans="1:14" x14ac:dyDescent="0.2">
      <c r="A18" s="124">
        <v>113</v>
      </c>
      <c r="B18" s="124" t="s">
        <v>160</v>
      </c>
      <c r="C18" s="125">
        <v>44879</v>
      </c>
      <c r="D18" s="124" t="s">
        <v>339</v>
      </c>
      <c r="E18" s="124" t="s">
        <v>340</v>
      </c>
      <c r="F18" s="124" t="s">
        <v>341</v>
      </c>
      <c r="G18" s="124">
        <v>951.86</v>
      </c>
      <c r="H18" s="124"/>
      <c r="I18" s="124"/>
      <c r="J18" s="155">
        <v>14887.09</v>
      </c>
      <c r="K18" s="127"/>
      <c r="L18" s="124" t="str">
        <f>IF(Tabla3[[#This Row],[IMPORTE EXPRESO]]&lt;&gt;"","PAGO","PENDIENTE")</f>
        <v>PENDIENTE</v>
      </c>
      <c r="M18" s="125"/>
      <c r="N18" s="124"/>
    </row>
    <row r="19" spans="1:14" x14ac:dyDescent="0.2">
      <c r="A19" s="124">
        <v>115</v>
      </c>
      <c r="B19" s="124" t="s">
        <v>53</v>
      </c>
      <c r="C19" s="125">
        <v>44879</v>
      </c>
      <c r="D19" s="124" t="s">
        <v>343</v>
      </c>
      <c r="E19" s="124" t="s">
        <v>188</v>
      </c>
      <c r="F19" s="124" t="s">
        <v>344</v>
      </c>
      <c r="G19" s="124">
        <v>890.88</v>
      </c>
      <c r="H19" s="124"/>
      <c r="I19" s="124"/>
      <c r="J19" s="155">
        <v>16490.189999999999</v>
      </c>
      <c r="K19" s="127"/>
      <c r="L19" s="124" t="str">
        <f>IF(Tabla3[[#This Row],[IMPORTE EXPRESO]]&lt;&gt;"","PAGO","PENDIENTE")</f>
        <v>PENDIENTE</v>
      </c>
      <c r="M19" s="125"/>
      <c r="N19" s="124"/>
    </row>
    <row r="20" spans="1:14" x14ac:dyDescent="0.2">
      <c r="A20" s="124">
        <v>151</v>
      </c>
      <c r="B20" s="124" t="s">
        <v>421</v>
      </c>
      <c r="C20" s="125">
        <v>44880</v>
      </c>
      <c r="D20" s="124" t="s">
        <v>402</v>
      </c>
      <c r="E20" s="124" t="s">
        <v>403</v>
      </c>
      <c r="F20" s="124" t="s">
        <v>404</v>
      </c>
      <c r="G20" s="124">
        <v>385.85</v>
      </c>
      <c r="H20" s="124"/>
      <c r="I20" s="124"/>
      <c r="J20" s="155">
        <v>13489.32</v>
      </c>
      <c r="K20" s="127"/>
      <c r="L20" s="124"/>
      <c r="M20" s="125"/>
      <c r="N20" s="124"/>
    </row>
    <row r="21" spans="1:14" x14ac:dyDescent="0.2">
      <c r="A21" s="124">
        <v>152</v>
      </c>
      <c r="B21" s="124" t="s">
        <v>162</v>
      </c>
      <c r="C21" s="125">
        <v>44880</v>
      </c>
      <c r="D21" s="124" t="s">
        <v>405</v>
      </c>
      <c r="E21" s="124" t="s">
        <v>406</v>
      </c>
      <c r="F21" s="124" t="s">
        <v>407</v>
      </c>
      <c r="G21" s="124">
        <v>193.93</v>
      </c>
      <c r="H21" s="124"/>
      <c r="I21" s="124"/>
      <c r="J21" s="155">
        <v>5022.79</v>
      </c>
      <c r="K21" s="127"/>
      <c r="L21" s="124"/>
      <c r="M21" s="125"/>
      <c r="N21" s="124"/>
    </row>
    <row r="22" spans="1:14" x14ac:dyDescent="0.2">
      <c r="A22" s="124">
        <v>153</v>
      </c>
      <c r="B22" s="124" t="s">
        <v>210</v>
      </c>
      <c r="C22" s="125">
        <v>44880</v>
      </c>
      <c r="D22" s="124" t="s">
        <v>408</v>
      </c>
      <c r="E22" s="124" t="s">
        <v>409</v>
      </c>
      <c r="F22" s="124" t="s">
        <v>167</v>
      </c>
      <c r="G22" s="124">
        <v>387.86</v>
      </c>
      <c r="H22" s="124"/>
      <c r="I22" s="124"/>
      <c r="J22" s="155">
        <v>8083</v>
      </c>
      <c r="K22" s="127"/>
      <c r="L22" s="124"/>
      <c r="M22" s="125"/>
      <c r="N22" s="124"/>
    </row>
    <row r="23" spans="1:14" x14ac:dyDescent="0.2">
      <c r="A23" s="124">
        <v>154</v>
      </c>
      <c r="B23" s="124" t="s">
        <v>327</v>
      </c>
      <c r="C23" s="125">
        <v>44880</v>
      </c>
      <c r="D23" s="124" t="s">
        <v>410</v>
      </c>
      <c r="E23" s="124" t="s">
        <v>409</v>
      </c>
      <c r="F23" s="124" t="s">
        <v>328</v>
      </c>
      <c r="G23" s="124">
        <v>1156.81</v>
      </c>
      <c r="H23" s="124"/>
      <c r="I23" s="124"/>
      <c r="J23" s="155">
        <v>18011.53</v>
      </c>
      <c r="K23" s="127"/>
      <c r="L23" s="124"/>
      <c r="M23" s="125"/>
      <c r="N23" s="124"/>
    </row>
    <row r="24" spans="1:14" x14ac:dyDescent="0.2">
      <c r="A24" s="124">
        <v>155</v>
      </c>
      <c r="B24" s="124" t="s">
        <v>206</v>
      </c>
      <c r="C24" s="125">
        <v>44880</v>
      </c>
      <c r="D24" s="124" t="s">
        <v>411</v>
      </c>
      <c r="E24" s="124" t="s">
        <v>409</v>
      </c>
      <c r="F24" s="124" t="s">
        <v>412</v>
      </c>
      <c r="G24" s="124">
        <v>627.08000000000004</v>
      </c>
      <c r="H24" s="124"/>
      <c r="I24" s="124"/>
      <c r="J24" s="155">
        <v>13344.26</v>
      </c>
      <c r="K24" s="127"/>
      <c r="L24" s="124"/>
      <c r="M24" s="125"/>
      <c r="N24" s="124"/>
    </row>
    <row r="25" spans="1:14" x14ac:dyDescent="0.2">
      <c r="A25" s="124">
        <v>156</v>
      </c>
      <c r="B25" s="124" t="s">
        <v>206</v>
      </c>
      <c r="C25" s="125">
        <v>44880</v>
      </c>
      <c r="D25" s="124" t="s">
        <v>413</v>
      </c>
      <c r="E25" s="124" t="s">
        <v>414</v>
      </c>
      <c r="F25" s="124" t="s">
        <v>415</v>
      </c>
      <c r="G25" s="124">
        <v>1195.52</v>
      </c>
      <c r="H25" s="124"/>
      <c r="I25" s="124"/>
      <c r="J25" s="155">
        <v>18614.25</v>
      </c>
      <c r="K25" s="127"/>
      <c r="L25" s="124"/>
      <c r="M25" s="125"/>
      <c r="N25" s="124"/>
    </row>
    <row r="26" spans="1:14" x14ac:dyDescent="0.2">
      <c r="A26" s="124">
        <v>157</v>
      </c>
      <c r="B26" s="124" t="s">
        <v>417</v>
      </c>
      <c r="C26" s="125">
        <v>44880</v>
      </c>
      <c r="D26" s="124" t="s">
        <v>416</v>
      </c>
      <c r="E26" s="124" t="s">
        <v>194</v>
      </c>
      <c r="F26" s="124" t="s">
        <v>195</v>
      </c>
      <c r="G26" s="124">
        <v>902.4</v>
      </c>
      <c r="H26" s="124"/>
      <c r="I26" s="124"/>
      <c r="J26" s="155">
        <v>15584.45</v>
      </c>
      <c r="K26" s="127"/>
      <c r="L26" s="124"/>
      <c r="M26" s="125"/>
      <c r="N26" s="124"/>
    </row>
    <row r="27" spans="1:14" x14ac:dyDescent="0.2">
      <c r="A27" s="124">
        <v>158</v>
      </c>
      <c r="B27" s="124" t="s">
        <v>417</v>
      </c>
      <c r="C27" s="125">
        <v>44880</v>
      </c>
      <c r="D27" s="124" t="s">
        <v>418</v>
      </c>
      <c r="E27" s="124" t="s">
        <v>194</v>
      </c>
      <c r="F27" s="124" t="s">
        <v>195</v>
      </c>
      <c r="G27" s="124">
        <v>590.28</v>
      </c>
      <c r="H27" s="124"/>
      <c r="I27" s="124"/>
      <c r="J27" s="155">
        <v>10194.14</v>
      </c>
      <c r="K27" s="127"/>
      <c r="L27" s="124"/>
      <c r="M27" s="125"/>
      <c r="N27" s="124"/>
    </row>
    <row r="28" spans="1:14" x14ac:dyDescent="0.2">
      <c r="A28" s="124">
        <v>159</v>
      </c>
      <c r="B28" s="124" t="s">
        <v>327</v>
      </c>
      <c r="C28" s="125">
        <v>44880</v>
      </c>
      <c r="D28" s="124" t="s">
        <v>419</v>
      </c>
      <c r="E28" s="124" t="s">
        <v>420</v>
      </c>
      <c r="F28" s="124" t="s">
        <v>328</v>
      </c>
      <c r="G28" s="124">
        <v>3833.5</v>
      </c>
      <c r="H28" s="124"/>
      <c r="I28" s="124"/>
      <c r="J28" s="155">
        <v>59687.6</v>
      </c>
      <c r="K28" s="127"/>
      <c r="L28" s="124"/>
      <c r="M28" s="125"/>
      <c r="N28" s="124"/>
    </row>
    <row r="29" spans="1:14" x14ac:dyDescent="0.2">
      <c r="A29" s="124">
        <v>207</v>
      </c>
      <c r="B29" s="124" t="s">
        <v>373</v>
      </c>
      <c r="C29" s="125">
        <v>44881</v>
      </c>
      <c r="D29" s="124" t="s">
        <v>497</v>
      </c>
      <c r="E29" s="124" t="s">
        <v>498</v>
      </c>
      <c r="F29" s="124" t="s">
        <v>499</v>
      </c>
      <c r="G29" s="124">
        <v>1213.51</v>
      </c>
      <c r="H29" s="124"/>
      <c r="I29" s="124"/>
      <c r="J29" s="155">
        <v>30786.75</v>
      </c>
      <c r="K29" s="127"/>
      <c r="L29" s="124"/>
      <c r="M29" s="125"/>
      <c r="N29" s="124"/>
    </row>
    <row r="30" spans="1:14" x14ac:dyDescent="0.2">
      <c r="A30" s="124">
        <v>210</v>
      </c>
      <c r="B30" s="124" t="s">
        <v>373</v>
      </c>
      <c r="C30" s="125">
        <v>44881</v>
      </c>
      <c r="D30" s="124" t="s">
        <v>505</v>
      </c>
      <c r="E30" s="124" t="s">
        <v>506</v>
      </c>
      <c r="F30" s="124" t="s">
        <v>507</v>
      </c>
      <c r="G30" s="124">
        <v>902.4</v>
      </c>
      <c r="H30" s="124"/>
      <c r="I30" s="124"/>
      <c r="J30" s="155">
        <v>18598.46</v>
      </c>
      <c r="K30" s="127"/>
      <c r="L30" s="124"/>
      <c r="M30" s="125"/>
      <c r="N30" s="124"/>
    </row>
    <row r="31" spans="1:14" x14ac:dyDescent="0.2">
      <c r="A31" s="124">
        <v>212</v>
      </c>
      <c r="B31" s="124" t="s">
        <v>210</v>
      </c>
      <c r="C31" s="125">
        <v>44881</v>
      </c>
      <c r="D31" s="124" t="s">
        <v>509</v>
      </c>
      <c r="E31" s="124" t="s">
        <v>510</v>
      </c>
      <c r="F31" s="124" t="s">
        <v>511</v>
      </c>
      <c r="G31" s="124">
        <v>1189.7</v>
      </c>
      <c r="H31" s="124"/>
      <c r="I31" s="124"/>
      <c r="J31" s="155">
        <v>24674.38</v>
      </c>
      <c r="K31" s="127"/>
      <c r="L31" s="124"/>
      <c r="M31" s="125"/>
      <c r="N31" s="124"/>
    </row>
    <row r="32" spans="1:14" x14ac:dyDescent="0.2">
      <c r="A32" s="124">
        <v>213</v>
      </c>
      <c r="B32" s="124" t="s">
        <v>210</v>
      </c>
      <c r="C32" s="125">
        <v>44881</v>
      </c>
      <c r="D32" s="124" t="s">
        <v>512</v>
      </c>
      <c r="E32" s="124" t="s">
        <v>513</v>
      </c>
      <c r="F32" s="124" t="s">
        <v>514</v>
      </c>
      <c r="G32" s="124">
        <v>18.7</v>
      </c>
      <c r="H32" s="124"/>
      <c r="I32" s="124"/>
      <c r="J32" s="155">
        <v>1969.39</v>
      </c>
      <c r="K32" s="127"/>
      <c r="L32" s="124"/>
      <c r="M32" s="125"/>
      <c r="N32" s="124"/>
    </row>
    <row r="33" spans="1:14" x14ac:dyDescent="0.2">
      <c r="A33" s="124">
        <v>223</v>
      </c>
      <c r="B33" s="124" t="s">
        <v>373</v>
      </c>
      <c r="C33" s="125">
        <v>44882</v>
      </c>
      <c r="D33" s="124" t="s">
        <v>532</v>
      </c>
      <c r="E33" s="124" t="s">
        <v>533</v>
      </c>
      <c r="F33" s="124" t="s">
        <v>554</v>
      </c>
      <c r="G33" s="124">
        <v>1984.88</v>
      </c>
      <c r="H33" s="124"/>
      <c r="I33" s="124"/>
      <c r="J33" s="155">
        <v>43329.93</v>
      </c>
      <c r="K33" s="127"/>
      <c r="L33" s="124"/>
      <c r="M33" s="125"/>
      <c r="N33" s="124"/>
    </row>
    <row r="34" spans="1:14" x14ac:dyDescent="0.2">
      <c r="A34" s="124">
        <v>245</v>
      </c>
      <c r="B34" s="124" t="s">
        <v>119</v>
      </c>
      <c r="C34" s="125">
        <v>44882</v>
      </c>
      <c r="D34" s="124" t="s">
        <v>573</v>
      </c>
      <c r="E34" s="124" t="s">
        <v>409</v>
      </c>
      <c r="F34" s="124" t="s">
        <v>412</v>
      </c>
      <c r="G34" s="124">
        <v>393.96</v>
      </c>
      <c r="H34" s="124"/>
      <c r="I34" s="124"/>
      <c r="J34" s="155">
        <v>8383.4699999999993</v>
      </c>
      <c r="K34" s="127"/>
      <c r="L34" s="124"/>
      <c r="M34" s="125"/>
      <c r="N34" s="124"/>
    </row>
    <row r="35" spans="1:14" x14ac:dyDescent="0.2">
      <c r="A35" s="124">
        <v>224</v>
      </c>
      <c r="B35" s="124" t="s">
        <v>535</v>
      </c>
      <c r="C35" s="125">
        <v>44882</v>
      </c>
      <c r="D35" s="124" t="s">
        <v>534</v>
      </c>
      <c r="E35" s="124" t="s">
        <v>353</v>
      </c>
      <c r="F35" s="124" t="s">
        <v>536</v>
      </c>
      <c r="G35" s="124">
        <v>187.8</v>
      </c>
      <c r="H35" s="124"/>
      <c r="I35" s="124"/>
      <c r="J35" s="155">
        <v>4208.6000000000004</v>
      </c>
      <c r="K35" s="127"/>
      <c r="L35" s="124"/>
      <c r="M35" s="125"/>
      <c r="N35" s="124"/>
    </row>
    <row r="36" spans="1:14" x14ac:dyDescent="0.2">
      <c r="A36" s="124">
        <v>225</v>
      </c>
      <c r="B36" s="124" t="s">
        <v>538</v>
      </c>
      <c r="C36" s="125">
        <v>44882</v>
      </c>
      <c r="D36" s="124" t="s">
        <v>537</v>
      </c>
      <c r="E36" s="124" t="s">
        <v>340</v>
      </c>
      <c r="F36" s="124" t="s">
        <v>341</v>
      </c>
      <c r="G36" s="124">
        <v>450.24</v>
      </c>
      <c r="H36" s="124"/>
      <c r="I36" s="124"/>
      <c r="J36" s="155">
        <v>8775.18</v>
      </c>
      <c r="K36" s="127"/>
      <c r="L36" s="124"/>
      <c r="M36" s="125"/>
      <c r="N36" s="124"/>
    </row>
    <row r="37" spans="1:14" x14ac:dyDescent="0.2">
      <c r="A37" s="124">
        <v>226</v>
      </c>
      <c r="B37" s="124" t="s">
        <v>540</v>
      </c>
      <c r="C37" s="125">
        <v>44882</v>
      </c>
      <c r="D37" s="124" t="s">
        <v>539</v>
      </c>
      <c r="E37" s="124" t="s">
        <v>414</v>
      </c>
      <c r="F37" s="124" t="s">
        <v>415</v>
      </c>
      <c r="G37" s="124">
        <v>600.32000000000005</v>
      </c>
      <c r="H37" s="124"/>
      <c r="I37" s="124"/>
      <c r="J37" s="155">
        <v>9389</v>
      </c>
      <c r="K37" s="127"/>
      <c r="L37" s="124"/>
      <c r="M37" s="125"/>
      <c r="N37" s="124"/>
    </row>
    <row r="38" spans="1:14" x14ac:dyDescent="0.2">
      <c r="A38" s="124">
        <v>227</v>
      </c>
      <c r="B38" s="124" t="s">
        <v>417</v>
      </c>
      <c r="C38" s="125">
        <v>44882</v>
      </c>
      <c r="D38" s="124" t="s">
        <v>541</v>
      </c>
      <c r="E38" s="124" t="s">
        <v>194</v>
      </c>
      <c r="F38" s="124" t="s">
        <v>195</v>
      </c>
      <c r="G38" s="124">
        <v>900.48</v>
      </c>
      <c r="H38" s="124"/>
      <c r="I38" s="124"/>
      <c r="J38" s="155">
        <v>15551.29</v>
      </c>
      <c r="K38" s="127"/>
      <c r="L38" s="124"/>
      <c r="M38" s="125"/>
      <c r="N38" s="124"/>
    </row>
    <row r="39" spans="1:14" x14ac:dyDescent="0.2">
      <c r="A39" s="124">
        <v>228</v>
      </c>
      <c r="B39" s="124" t="s">
        <v>373</v>
      </c>
      <c r="C39" s="125">
        <v>44882</v>
      </c>
      <c r="D39" s="124" t="s">
        <v>542</v>
      </c>
      <c r="E39" s="124" t="s">
        <v>506</v>
      </c>
      <c r="F39" s="124" t="s">
        <v>507</v>
      </c>
      <c r="G39" s="124">
        <v>1800.96</v>
      </c>
      <c r="H39" s="124"/>
      <c r="I39" s="124"/>
      <c r="J39" s="155">
        <v>36757.589999999997</v>
      </c>
      <c r="K39" s="127"/>
      <c r="L39" s="124"/>
      <c r="M39" s="125"/>
      <c r="N39" s="124"/>
    </row>
    <row r="40" spans="1:14" x14ac:dyDescent="0.2">
      <c r="A40" s="124">
        <v>229</v>
      </c>
      <c r="B40" s="124" t="s">
        <v>162</v>
      </c>
      <c r="C40" s="125">
        <v>44882</v>
      </c>
      <c r="D40" s="124" t="s">
        <v>543</v>
      </c>
      <c r="E40" s="124" t="s">
        <v>544</v>
      </c>
      <c r="F40" s="124" t="s">
        <v>545</v>
      </c>
      <c r="G40" s="124">
        <v>1091.7</v>
      </c>
      <c r="H40" s="124"/>
      <c r="I40" s="124"/>
      <c r="J40" s="155">
        <v>23930.06</v>
      </c>
      <c r="K40" s="127"/>
      <c r="L40" s="124"/>
      <c r="M40" s="125"/>
      <c r="N40" s="124"/>
    </row>
    <row r="41" spans="1:14" x14ac:dyDescent="0.2">
      <c r="A41" s="124">
        <v>230</v>
      </c>
      <c r="B41" s="124" t="s">
        <v>538</v>
      </c>
      <c r="C41" s="125">
        <v>44882</v>
      </c>
      <c r="D41" s="124" t="s">
        <v>546</v>
      </c>
      <c r="E41" s="124" t="s">
        <v>117</v>
      </c>
      <c r="F41" s="124" t="s">
        <v>216</v>
      </c>
      <c r="G41" s="124">
        <v>1125.5999999999999</v>
      </c>
      <c r="H41" s="124"/>
      <c r="I41" s="124"/>
      <c r="J41" s="155">
        <v>21836.639999999999</v>
      </c>
      <c r="K41" s="127"/>
      <c r="L41" s="124"/>
      <c r="M41" s="125"/>
      <c r="N41" s="124"/>
    </row>
    <row r="42" spans="1:14" x14ac:dyDescent="0.2">
      <c r="A42" s="124">
        <v>231</v>
      </c>
      <c r="B42" s="124" t="s">
        <v>162</v>
      </c>
      <c r="C42" s="125">
        <v>44882</v>
      </c>
      <c r="D42" s="124" t="s">
        <v>547</v>
      </c>
      <c r="E42" s="124" t="s">
        <v>548</v>
      </c>
      <c r="F42" s="124" t="s">
        <v>549</v>
      </c>
      <c r="G42" s="124">
        <v>3608.9</v>
      </c>
      <c r="H42" s="124"/>
      <c r="I42" s="124"/>
      <c r="J42" s="155">
        <v>66475.94</v>
      </c>
      <c r="K42" s="127"/>
      <c r="L42" s="124"/>
      <c r="M42" s="125"/>
      <c r="N42" s="124"/>
    </row>
    <row r="43" spans="1:14" x14ac:dyDescent="0.2">
      <c r="A43" s="124">
        <v>232</v>
      </c>
      <c r="B43" s="124" t="s">
        <v>162</v>
      </c>
      <c r="C43" s="125">
        <v>44882</v>
      </c>
      <c r="D43" s="124" t="s">
        <v>550</v>
      </c>
      <c r="E43" s="124" t="s">
        <v>551</v>
      </c>
      <c r="F43" s="124" t="s">
        <v>307</v>
      </c>
      <c r="G43" s="124">
        <v>151</v>
      </c>
      <c r="H43" s="124"/>
      <c r="I43" s="124"/>
      <c r="J43" s="155">
        <v>2571.16</v>
      </c>
      <c r="K43" s="127"/>
      <c r="L43" s="124"/>
      <c r="M43" s="125"/>
      <c r="N43" s="124"/>
    </row>
    <row r="44" spans="1:14" ht="17.25" customHeight="1" x14ac:dyDescent="0.2">
      <c r="A44" s="124">
        <v>306</v>
      </c>
      <c r="B44" s="124" t="s">
        <v>624</v>
      </c>
      <c r="C44" s="125">
        <v>44883</v>
      </c>
      <c r="D44" s="124" t="s">
        <v>622</v>
      </c>
      <c r="E44" s="124" t="s">
        <v>623</v>
      </c>
      <c r="F44" s="124" t="s">
        <v>625</v>
      </c>
      <c r="G44" s="124">
        <v>890.88</v>
      </c>
      <c r="H44" s="124"/>
      <c r="I44" s="124"/>
      <c r="J44" s="127">
        <v>17363.25</v>
      </c>
      <c r="K44" s="127"/>
      <c r="L44" s="124"/>
      <c r="M44" s="206"/>
      <c r="N44" s="124"/>
    </row>
    <row r="45" spans="1:14" x14ac:dyDescent="0.2">
      <c r="A45" s="124">
        <v>299</v>
      </c>
      <c r="B45" s="124" t="s">
        <v>210</v>
      </c>
      <c r="C45" s="125">
        <v>44883</v>
      </c>
      <c r="D45" s="124" t="s">
        <v>611</v>
      </c>
      <c r="E45" s="124" t="s">
        <v>612</v>
      </c>
      <c r="F45" s="124" t="s">
        <v>613</v>
      </c>
      <c r="G45" s="124">
        <v>1855</v>
      </c>
      <c r="H45" s="124"/>
      <c r="I45" s="124"/>
      <c r="J45" s="127">
        <v>38472.699999999997</v>
      </c>
      <c r="K45" s="127"/>
      <c r="L45" s="124"/>
      <c r="M45" s="206"/>
      <c r="N45" s="124"/>
    </row>
    <row r="46" spans="1:14" x14ac:dyDescent="0.2">
      <c r="A46" s="124">
        <v>300</v>
      </c>
      <c r="B46" s="124" t="s">
        <v>210</v>
      </c>
      <c r="C46" s="125">
        <v>44883</v>
      </c>
      <c r="D46" s="124" t="s">
        <v>614</v>
      </c>
      <c r="E46" s="124" t="s">
        <v>612</v>
      </c>
      <c r="F46" s="124" t="s">
        <v>549</v>
      </c>
      <c r="G46" s="124">
        <v>890.88</v>
      </c>
      <c r="H46" s="124"/>
      <c r="I46" s="124"/>
      <c r="J46" s="127">
        <v>16490.189999999999</v>
      </c>
      <c r="K46" s="127"/>
      <c r="L46" s="124"/>
      <c r="M46" s="206"/>
      <c r="N46" s="124"/>
    </row>
    <row r="47" spans="1:14" x14ac:dyDescent="0.2">
      <c r="A47" s="124">
        <v>301</v>
      </c>
      <c r="B47" s="124" t="s">
        <v>210</v>
      </c>
      <c r="C47" s="125">
        <v>44883</v>
      </c>
      <c r="D47" s="124" t="s">
        <v>615</v>
      </c>
      <c r="E47" s="124" t="s">
        <v>616</v>
      </c>
      <c r="F47" s="124" t="s">
        <v>617</v>
      </c>
      <c r="G47" s="124">
        <v>3674.74</v>
      </c>
      <c r="H47" s="124"/>
      <c r="I47" s="124"/>
      <c r="J47" s="127">
        <v>76875.56</v>
      </c>
      <c r="K47" s="127"/>
      <c r="L47" s="124"/>
      <c r="M47" s="206"/>
      <c r="N47" s="124"/>
    </row>
    <row r="48" spans="1:14" x14ac:dyDescent="0.2">
      <c r="A48" s="124">
        <v>307</v>
      </c>
      <c r="B48" s="124" t="s">
        <v>173</v>
      </c>
      <c r="C48" s="125">
        <v>44883</v>
      </c>
      <c r="D48" s="124" t="s">
        <v>626</v>
      </c>
      <c r="E48" s="124" t="s">
        <v>137</v>
      </c>
      <c r="F48" s="124" t="s">
        <v>163</v>
      </c>
      <c r="G48" s="124">
        <v>1220.67</v>
      </c>
      <c r="H48" s="124"/>
      <c r="I48" s="124"/>
      <c r="J48" s="127">
        <v>18285.64</v>
      </c>
      <c r="K48" s="127"/>
      <c r="L48" s="124"/>
      <c r="M48" s="206"/>
      <c r="N48" s="124"/>
    </row>
    <row r="49" spans="1:14" x14ac:dyDescent="0.2">
      <c r="A49" s="124">
        <v>308</v>
      </c>
      <c r="B49" s="124" t="s">
        <v>417</v>
      </c>
      <c r="C49" s="125">
        <v>44883</v>
      </c>
      <c r="D49" s="124" t="s">
        <v>627</v>
      </c>
      <c r="E49" s="124" t="s">
        <v>194</v>
      </c>
      <c r="F49" s="124" t="s">
        <v>195</v>
      </c>
      <c r="G49" s="124">
        <v>198</v>
      </c>
      <c r="H49" s="124"/>
      <c r="I49" s="124"/>
      <c r="J49" s="127">
        <v>3419.46</v>
      </c>
      <c r="K49" s="127"/>
      <c r="L49" s="124"/>
      <c r="M49" s="206"/>
      <c r="N49" s="124"/>
    </row>
    <row r="50" spans="1:14" x14ac:dyDescent="0.2">
      <c r="A50" s="124">
        <v>319</v>
      </c>
      <c r="B50" s="124" t="s">
        <v>206</v>
      </c>
      <c r="C50" s="125">
        <v>44887</v>
      </c>
      <c r="D50" s="124" t="s">
        <v>642</v>
      </c>
      <c r="E50" s="124" t="s">
        <v>643</v>
      </c>
      <c r="F50" s="124" t="s">
        <v>644</v>
      </c>
      <c r="G50" s="124">
        <v>913.12</v>
      </c>
      <c r="H50" s="124"/>
      <c r="I50" s="124"/>
      <c r="J50" s="127">
        <v>15486.52</v>
      </c>
      <c r="K50" s="127"/>
      <c r="L50" s="124"/>
      <c r="M50" s="206"/>
      <c r="N50" s="124"/>
    </row>
    <row r="51" spans="1:14" x14ac:dyDescent="0.2">
      <c r="A51" s="124">
        <v>415</v>
      </c>
      <c r="B51" s="124" t="s">
        <v>535</v>
      </c>
      <c r="C51" s="125">
        <v>44888</v>
      </c>
      <c r="D51" s="124" t="s">
        <v>677</v>
      </c>
      <c r="E51" s="124" t="s">
        <v>353</v>
      </c>
      <c r="F51" s="124" t="s">
        <v>536</v>
      </c>
      <c r="G51" s="124">
        <v>93.4</v>
      </c>
      <c r="H51" s="124"/>
      <c r="I51" s="124"/>
      <c r="J51" s="127">
        <v>2385.11</v>
      </c>
      <c r="K51" s="127"/>
      <c r="L51" s="124"/>
      <c r="M51" s="206"/>
      <c r="N51" s="124"/>
    </row>
    <row r="52" spans="1:14" x14ac:dyDescent="0.2">
      <c r="A52" s="124">
        <v>416</v>
      </c>
      <c r="B52" s="124" t="s">
        <v>210</v>
      </c>
      <c r="C52" s="125">
        <v>44888</v>
      </c>
      <c r="D52" s="124" t="s">
        <v>678</v>
      </c>
      <c r="E52" s="124" t="s">
        <v>679</v>
      </c>
      <c r="F52" s="124" t="s">
        <v>680</v>
      </c>
      <c r="G52" s="124">
        <v>1244.3399999999999</v>
      </c>
      <c r="H52" s="124"/>
      <c r="I52" s="124"/>
      <c r="J52" s="127">
        <v>26031.59</v>
      </c>
      <c r="K52" s="127"/>
      <c r="L52" s="124"/>
      <c r="M52" s="206"/>
      <c r="N52" s="124"/>
    </row>
    <row r="53" spans="1:14" x14ac:dyDescent="0.2">
      <c r="A53" s="124">
        <v>417</v>
      </c>
      <c r="B53" s="124" t="s">
        <v>683</v>
      </c>
      <c r="C53" s="125">
        <v>44888</v>
      </c>
      <c r="D53" s="124" t="s">
        <v>681</v>
      </c>
      <c r="E53" s="124" t="s">
        <v>682</v>
      </c>
      <c r="F53" s="124" t="s">
        <v>684</v>
      </c>
      <c r="G53" s="124">
        <v>912</v>
      </c>
      <c r="H53" s="124"/>
      <c r="I53" s="124"/>
      <c r="J53" s="127">
        <v>18504.48</v>
      </c>
      <c r="K53" s="127"/>
      <c r="L53" s="124"/>
      <c r="M53" s="206"/>
      <c r="N53" s="124"/>
    </row>
    <row r="54" spans="1:14" x14ac:dyDescent="0.2">
      <c r="A54" s="124">
        <v>418</v>
      </c>
      <c r="B54" s="124" t="s">
        <v>162</v>
      </c>
      <c r="C54" s="125">
        <v>44888</v>
      </c>
      <c r="D54" s="124" t="s">
        <v>685</v>
      </c>
      <c r="E54" s="124" t="s">
        <v>686</v>
      </c>
      <c r="F54" s="124" t="s">
        <v>545</v>
      </c>
      <c r="G54" s="124">
        <v>383.35</v>
      </c>
      <c r="H54" s="124"/>
      <c r="I54" s="124"/>
      <c r="J54" s="127">
        <v>8441.3700000000008</v>
      </c>
      <c r="K54" s="127"/>
      <c r="L54" s="124"/>
      <c r="M54" s="206"/>
      <c r="N54" s="124"/>
    </row>
    <row r="55" spans="1:14" x14ac:dyDescent="0.2">
      <c r="A55" s="124">
        <v>419</v>
      </c>
      <c r="B55" s="124" t="s">
        <v>373</v>
      </c>
      <c r="C55" s="125">
        <v>44888</v>
      </c>
      <c r="D55" s="124" t="s">
        <v>687</v>
      </c>
      <c r="E55" s="124" t="s">
        <v>688</v>
      </c>
      <c r="F55" s="124" t="s">
        <v>176</v>
      </c>
      <c r="G55" s="124">
        <v>1804.8</v>
      </c>
      <c r="H55" s="124"/>
      <c r="I55" s="124"/>
      <c r="J55" s="127">
        <v>40337.279999999999</v>
      </c>
      <c r="K55" s="127"/>
      <c r="L55" s="124"/>
      <c r="M55" s="206"/>
      <c r="N55" s="124"/>
    </row>
    <row r="56" spans="1:14" x14ac:dyDescent="0.2">
      <c r="A56" s="124">
        <v>420</v>
      </c>
      <c r="B56" s="124" t="s">
        <v>162</v>
      </c>
      <c r="C56" s="125">
        <v>44888</v>
      </c>
      <c r="D56" s="124" t="s">
        <v>689</v>
      </c>
      <c r="E56" s="124" t="s">
        <v>686</v>
      </c>
      <c r="F56" s="124" t="s">
        <v>545</v>
      </c>
      <c r="G56" s="124">
        <v>556.79999999999995</v>
      </c>
      <c r="H56" s="124"/>
      <c r="I56" s="124"/>
      <c r="J56" s="127">
        <v>12260.74</v>
      </c>
      <c r="K56" s="127"/>
      <c r="L56" s="124"/>
      <c r="M56" s="206"/>
      <c r="N56" s="124"/>
    </row>
    <row r="57" spans="1:14" x14ac:dyDescent="0.2">
      <c r="A57" s="124">
        <v>463</v>
      </c>
      <c r="B57" s="124" t="s">
        <v>206</v>
      </c>
      <c r="C57" s="125">
        <v>44889</v>
      </c>
      <c r="D57" s="124" t="s">
        <v>743</v>
      </c>
      <c r="E57" s="124" t="s">
        <v>643</v>
      </c>
      <c r="F57" s="124" t="s">
        <v>644</v>
      </c>
      <c r="G57" s="124">
        <v>51</v>
      </c>
      <c r="H57" s="124"/>
      <c r="I57" s="124"/>
      <c r="J57" s="127">
        <v>1804.63</v>
      </c>
      <c r="K57" s="127"/>
      <c r="L57" s="124"/>
      <c r="M57" s="206"/>
      <c r="N57" s="124"/>
    </row>
    <row r="58" spans="1:14" x14ac:dyDescent="0.2">
      <c r="A58" s="124">
        <v>464</v>
      </c>
      <c r="B58" s="124" t="s">
        <v>746</v>
      </c>
      <c r="C58" s="125">
        <v>44889</v>
      </c>
      <c r="D58" s="124" t="s">
        <v>744</v>
      </c>
      <c r="E58" s="124" t="s">
        <v>745</v>
      </c>
      <c r="F58" s="124" t="s">
        <v>747</v>
      </c>
      <c r="G58" s="124">
        <v>196.6</v>
      </c>
      <c r="H58" s="124"/>
      <c r="I58" s="124"/>
      <c r="J58" s="127">
        <v>4226.8999999999996</v>
      </c>
      <c r="K58" s="127"/>
      <c r="L58" s="124"/>
      <c r="M58" s="206"/>
      <c r="N58" s="124"/>
    </row>
    <row r="59" spans="1:14" x14ac:dyDescent="0.2">
      <c r="A59" s="124">
        <v>465</v>
      </c>
      <c r="B59" s="124" t="s">
        <v>210</v>
      </c>
      <c r="C59" s="125">
        <v>44889</v>
      </c>
      <c r="D59" s="124" t="s">
        <v>748</v>
      </c>
      <c r="E59" s="124" t="s">
        <v>749</v>
      </c>
      <c r="F59" s="124" t="s">
        <v>750</v>
      </c>
      <c r="G59" s="124">
        <v>190.2</v>
      </c>
      <c r="H59" s="124"/>
      <c r="I59" s="124"/>
      <c r="J59" s="127">
        <v>3998</v>
      </c>
      <c r="K59" s="127"/>
      <c r="L59" s="124"/>
      <c r="M59" s="206"/>
      <c r="N59" s="124"/>
    </row>
    <row r="60" spans="1:14" x14ac:dyDescent="0.2">
      <c r="A60" s="124">
        <v>466</v>
      </c>
      <c r="B60" s="124" t="s">
        <v>206</v>
      </c>
      <c r="C60" s="125">
        <v>44889</v>
      </c>
      <c r="D60" s="124" t="s">
        <v>751</v>
      </c>
      <c r="E60" s="124" t="s">
        <v>643</v>
      </c>
      <c r="F60" s="124" t="s">
        <v>644</v>
      </c>
      <c r="G60" s="124">
        <v>589.79</v>
      </c>
      <c r="H60" s="124"/>
      <c r="I60" s="124"/>
      <c r="J60" s="127">
        <v>10002.84</v>
      </c>
      <c r="K60" s="127"/>
      <c r="L60" s="124"/>
      <c r="M60" s="206"/>
      <c r="N60" s="124"/>
    </row>
    <row r="61" spans="1:14" x14ac:dyDescent="0.2">
      <c r="A61" s="124">
        <v>467</v>
      </c>
      <c r="B61" s="124" t="s">
        <v>210</v>
      </c>
      <c r="C61" s="125">
        <v>44889</v>
      </c>
      <c r="D61" s="124" t="s">
        <v>752</v>
      </c>
      <c r="E61" s="124" t="s">
        <v>735</v>
      </c>
      <c r="F61" s="124" t="s">
        <v>753</v>
      </c>
      <c r="G61" s="124">
        <v>2453.85</v>
      </c>
      <c r="H61" s="124"/>
      <c r="I61" s="124"/>
      <c r="J61" s="127">
        <v>50892.85</v>
      </c>
      <c r="K61" s="127"/>
      <c r="L61" s="124"/>
      <c r="M61" s="206"/>
      <c r="N61" s="124"/>
    </row>
    <row r="62" spans="1:14" x14ac:dyDescent="0.2">
      <c r="A62" s="124">
        <v>468</v>
      </c>
      <c r="B62" s="124" t="s">
        <v>417</v>
      </c>
      <c r="C62" s="125">
        <v>44889</v>
      </c>
      <c r="D62" s="124" t="s">
        <v>754</v>
      </c>
      <c r="E62" s="124" t="s">
        <v>735</v>
      </c>
      <c r="F62" s="124" t="s">
        <v>755</v>
      </c>
      <c r="G62" s="124">
        <v>4972.74</v>
      </c>
      <c r="H62" s="124"/>
      <c r="I62" s="124"/>
      <c r="J62" s="127">
        <v>72502.55</v>
      </c>
      <c r="K62" s="127"/>
      <c r="L62" s="124"/>
      <c r="M62" s="206"/>
      <c r="N62" s="124"/>
    </row>
    <row r="63" spans="1:14" x14ac:dyDescent="0.2">
      <c r="A63" s="124">
        <v>459</v>
      </c>
      <c r="B63" s="124" t="s">
        <v>540</v>
      </c>
      <c r="C63" s="125">
        <v>44889</v>
      </c>
      <c r="D63" s="124" t="s">
        <v>734</v>
      </c>
      <c r="E63" s="124" t="s">
        <v>735</v>
      </c>
      <c r="F63" s="124" t="s">
        <v>415</v>
      </c>
      <c r="G63" s="124">
        <v>2453.85</v>
      </c>
      <c r="H63" s="124"/>
      <c r="I63" s="124"/>
      <c r="J63" s="127">
        <v>38206.44</v>
      </c>
      <c r="K63" s="127"/>
      <c r="L63" s="124"/>
      <c r="M63" s="206"/>
      <c r="N63" s="124"/>
    </row>
    <row r="64" spans="1:14" x14ac:dyDescent="0.2">
      <c r="A64" s="124">
        <v>460</v>
      </c>
      <c r="B64" s="124" t="s">
        <v>173</v>
      </c>
      <c r="C64" s="125">
        <v>44889</v>
      </c>
      <c r="D64" s="124" t="s">
        <v>736</v>
      </c>
      <c r="E64" s="124" t="s">
        <v>735</v>
      </c>
      <c r="F64" s="124" t="s">
        <v>503</v>
      </c>
      <c r="G64" s="124">
        <v>1657.58</v>
      </c>
      <c r="H64" s="124"/>
      <c r="I64" s="124"/>
      <c r="J64" s="127">
        <v>24830.55</v>
      </c>
      <c r="K64" s="127"/>
      <c r="L64" s="124"/>
      <c r="M64" s="206"/>
      <c r="N64" s="124"/>
    </row>
    <row r="65" spans="1:14" x14ac:dyDescent="0.2">
      <c r="A65" s="124">
        <v>461</v>
      </c>
      <c r="B65" s="124" t="s">
        <v>538</v>
      </c>
      <c r="C65" s="125">
        <v>44889</v>
      </c>
      <c r="D65" s="124" t="s">
        <v>737</v>
      </c>
      <c r="E65" s="124" t="s">
        <v>738</v>
      </c>
      <c r="F65" s="124" t="s">
        <v>739</v>
      </c>
      <c r="G65" s="124">
        <v>2453.85</v>
      </c>
      <c r="H65" s="124"/>
      <c r="I65" s="124"/>
      <c r="J65" s="127">
        <v>47604.69</v>
      </c>
      <c r="K65" s="127"/>
      <c r="L65" s="124"/>
      <c r="M65" s="206"/>
      <c r="N65" s="124"/>
    </row>
    <row r="66" spans="1:14" x14ac:dyDescent="0.2">
      <c r="A66" s="124">
        <v>462</v>
      </c>
      <c r="B66" s="124" t="s">
        <v>742</v>
      </c>
      <c r="C66" s="125">
        <v>44889</v>
      </c>
      <c r="D66" s="124" t="s">
        <v>740</v>
      </c>
      <c r="E66" s="124" t="s">
        <v>175</v>
      </c>
      <c r="F66" s="124" t="s">
        <v>741</v>
      </c>
      <c r="G66" s="124">
        <v>900.48</v>
      </c>
      <c r="H66" s="124"/>
      <c r="I66" s="124"/>
      <c r="J66" s="127">
        <v>24835.24</v>
      </c>
      <c r="K66" s="127"/>
      <c r="L66" s="124"/>
      <c r="M66" s="206"/>
      <c r="N66" s="124"/>
    </row>
    <row r="67" spans="1:14" x14ac:dyDescent="0.2">
      <c r="A67" s="124">
        <v>469</v>
      </c>
      <c r="B67" s="124" t="s">
        <v>210</v>
      </c>
      <c r="C67" s="125">
        <v>44889</v>
      </c>
      <c r="D67" s="124" t="s">
        <v>756</v>
      </c>
      <c r="E67" s="124" t="s">
        <v>757</v>
      </c>
      <c r="F67" s="124" t="s">
        <v>511</v>
      </c>
      <c r="G67" s="124">
        <v>372.4</v>
      </c>
      <c r="H67" s="124"/>
      <c r="I67" s="124"/>
      <c r="J67" s="127">
        <v>7760.82</v>
      </c>
      <c r="K67" s="127"/>
      <c r="L67" s="124"/>
      <c r="M67" s="206"/>
      <c r="N67" s="124"/>
    </row>
    <row r="68" spans="1:14" x14ac:dyDescent="0.2">
      <c r="A68" s="124">
        <v>470</v>
      </c>
      <c r="B68" s="124" t="s">
        <v>210</v>
      </c>
      <c r="C68" s="125">
        <v>44889</v>
      </c>
      <c r="D68" s="124" t="s">
        <v>758</v>
      </c>
      <c r="E68" s="124" t="s">
        <v>757</v>
      </c>
      <c r="F68" s="124" t="s">
        <v>201</v>
      </c>
      <c r="G68" s="124">
        <v>902.4</v>
      </c>
      <c r="H68" s="124"/>
      <c r="I68" s="124"/>
      <c r="J68" s="127">
        <v>16703.419999999998</v>
      </c>
      <c r="K68" s="127"/>
      <c r="L68" s="124"/>
      <c r="M68" s="206"/>
      <c r="N68" s="124"/>
    </row>
    <row r="69" spans="1:14" x14ac:dyDescent="0.2">
      <c r="A69" s="124">
        <v>471</v>
      </c>
      <c r="B69" s="124" t="s">
        <v>206</v>
      </c>
      <c r="C69" s="125">
        <v>44889</v>
      </c>
      <c r="D69" s="124" t="s">
        <v>759</v>
      </c>
      <c r="E69" s="124" t="s">
        <v>760</v>
      </c>
      <c r="F69" s="124" t="s">
        <v>761</v>
      </c>
      <c r="G69" s="124">
        <v>684.84</v>
      </c>
      <c r="H69" s="124"/>
      <c r="I69" s="124"/>
      <c r="J69" s="127">
        <v>10710.9</v>
      </c>
      <c r="K69" s="127"/>
      <c r="L69" s="124"/>
      <c r="M69" s="206"/>
      <c r="N69" s="124"/>
    </row>
    <row r="70" spans="1:14" x14ac:dyDescent="0.2">
      <c r="A70" s="124">
        <v>472</v>
      </c>
      <c r="B70" s="124" t="s">
        <v>535</v>
      </c>
      <c r="C70" s="125">
        <v>44889</v>
      </c>
      <c r="D70" s="124" t="s">
        <v>762</v>
      </c>
      <c r="E70" s="124" t="s">
        <v>763</v>
      </c>
      <c r="F70" s="124" t="s">
        <v>764</v>
      </c>
      <c r="G70" s="124">
        <v>451.2</v>
      </c>
      <c r="H70" s="124"/>
      <c r="I70" s="124"/>
      <c r="J70" s="127">
        <v>9218.02</v>
      </c>
      <c r="K70" s="127"/>
      <c r="L70" s="124"/>
      <c r="M70" s="206"/>
      <c r="N70" s="124"/>
    </row>
    <row r="71" spans="1:14" x14ac:dyDescent="0.2">
      <c r="A71" s="124">
        <v>233</v>
      </c>
      <c r="B71" s="124" t="s">
        <v>535</v>
      </c>
      <c r="C71" s="125">
        <v>44882</v>
      </c>
      <c r="D71" s="124" t="s">
        <v>552</v>
      </c>
      <c r="E71" s="124" t="s">
        <v>553</v>
      </c>
      <c r="F71" s="124" t="s">
        <v>219</v>
      </c>
      <c r="G71" s="124">
        <v>195.98</v>
      </c>
      <c r="H71" s="124"/>
      <c r="I71" s="124"/>
      <c r="J71" s="155">
        <v>4391.91</v>
      </c>
      <c r="K71" s="127"/>
      <c r="L71" s="124"/>
      <c r="M71" s="206"/>
      <c r="N71" s="124"/>
    </row>
    <row r="72" spans="1:14" x14ac:dyDescent="0.2">
      <c r="A72" s="124"/>
      <c r="B72" s="124"/>
      <c r="C72" s="124"/>
      <c r="D72" s="124"/>
      <c r="E72" s="124"/>
      <c r="F72" s="124"/>
      <c r="G72" s="124"/>
      <c r="H72" s="124"/>
      <c r="I72" s="124"/>
      <c r="J72" s="127"/>
      <c r="K72" s="127"/>
      <c r="L72" s="124"/>
      <c r="M72" s="206"/>
      <c r="N72" s="124"/>
    </row>
    <row r="73" spans="1:14" x14ac:dyDescent="0.2">
      <c r="A73" s="124"/>
      <c r="B73" s="124"/>
      <c r="C73" s="124"/>
      <c r="D73" s="124"/>
      <c r="E73" s="124"/>
      <c r="F73" s="124"/>
      <c r="G73" s="124"/>
      <c r="H73" s="124"/>
      <c r="I73" s="124"/>
      <c r="J73" s="127"/>
      <c r="K73" s="127"/>
      <c r="L73" s="124"/>
      <c r="M73" s="206"/>
      <c r="N73" s="124"/>
    </row>
    <row r="74" spans="1:14" x14ac:dyDescent="0.2">
      <c r="A74" s="124"/>
      <c r="B74" s="124"/>
      <c r="C74" s="124"/>
      <c r="D74" s="124"/>
      <c r="E74" s="124"/>
      <c r="F74" s="124"/>
      <c r="G74" s="124"/>
      <c r="H74" s="124"/>
      <c r="I74" s="124"/>
      <c r="J74" s="127"/>
      <c r="K74" s="127"/>
      <c r="L74" s="124"/>
      <c r="M74" s="206"/>
      <c r="N74" s="124"/>
    </row>
    <row r="75" spans="1:14" x14ac:dyDescent="0.2">
      <c r="A75" s="124"/>
      <c r="B75" s="124"/>
      <c r="C75" s="124"/>
      <c r="D75" s="124"/>
      <c r="E75" s="124"/>
      <c r="F75" s="124"/>
      <c r="G75" s="124"/>
      <c r="H75" s="124"/>
      <c r="I75" s="124"/>
      <c r="J75" s="127"/>
      <c r="K75" s="127"/>
      <c r="L75" s="124"/>
      <c r="M75" s="206"/>
      <c r="N75" s="124"/>
    </row>
    <row r="76" spans="1:14" x14ac:dyDescent="0.2">
      <c r="A76" s="124"/>
      <c r="B76" s="124"/>
      <c r="C76" s="124"/>
      <c r="D76" s="124"/>
      <c r="E76" s="124"/>
      <c r="F76" s="124"/>
      <c r="G76" s="124"/>
      <c r="H76" s="124"/>
      <c r="I76" s="124"/>
      <c r="J76" s="127"/>
      <c r="K76" s="127"/>
      <c r="L76" s="124"/>
      <c r="M76" s="206"/>
      <c r="N76" s="124"/>
    </row>
    <row r="77" spans="1:14" x14ac:dyDescent="0.2">
      <c r="A77" s="124"/>
      <c r="B77" s="124"/>
      <c r="C77" s="124"/>
      <c r="D77" s="124"/>
      <c r="E77" s="124"/>
      <c r="F77" s="124"/>
      <c r="G77" s="124"/>
      <c r="H77" s="124"/>
      <c r="I77" s="124"/>
      <c r="J77" s="127"/>
      <c r="K77" s="127"/>
      <c r="L77" s="124"/>
      <c r="M77" s="206"/>
      <c r="N77" s="124"/>
    </row>
    <row r="78" spans="1:14" x14ac:dyDescent="0.2">
      <c r="A78" s="124"/>
      <c r="B78" s="124"/>
      <c r="C78" s="124"/>
      <c r="D78" s="124"/>
      <c r="E78" s="124"/>
      <c r="F78" s="124"/>
      <c r="G78" s="124"/>
      <c r="H78" s="124"/>
      <c r="I78" s="124"/>
      <c r="J78" s="127"/>
      <c r="K78" s="127"/>
      <c r="L78" s="124"/>
      <c r="M78" s="206"/>
      <c r="N78" s="124"/>
    </row>
    <row r="79" spans="1:14" x14ac:dyDescent="0.2">
      <c r="A79" s="124"/>
      <c r="B79" s="124"/>
      <c r="C79" s="124"/>
      <c r="D79" s="124"/>
      <c r="E79" s="124"/>
      <c r="F79" s="124"/>
      <c r="G79" s="124"/>
      <c r="H79" s="124"/>
      <c r="I79" s="124"/>
      <c r="J79" s="127"/>
      <c r="K79" s="127"/>
      <c r="L79" s="124"/>
      <c r="M79" s="206"/>
      <c r="N79" s="124"/>
    </row>
    <row r="80" spans="1:14" x14ac:dyDescent="0.2">
      <c r="A80" s="124"/>
      <c r="B80" s="124"/>
      <c r="C80" s="124"/>
      <c r="D80" s="124"/>
      <c r="E80" s="124"/>
      <c r="F80" s="124"/>
      <c r="G80" s="124"/>
      <c r="H80" s="124"/>
      <c r="I80" s="124"/>
      <c r="J80" s="127"/>
      <c r="K80" s="127"/>
      <c r="L80" s="124"/>
      <c r="M80" s="206"/>
      <c r="N80" s="124"/>
    </row>
    <row r="81" spans="1:14" x14ac:dyDescent="0.2">
      <c r="A81" s="124"/>
      <c r="B81" s="124"/>
      <c r="C81" s="124"/>
      <c r="D81" s="124"/>
      <c r="E81" s="124"/>
      <c r="F81" s="124"/>
      <c r="G81" s="124"/>
      <c r="H81" s="124"/>
      <c r="I81" s="124"/>
      <c r="J81" s="127"/>
      <c r="K81" s="127"/>
      <c r="L81" s="124"/>
      <c r="M81" s="206"/>
      <c r="N81" s="124"/>
    </row>
    <row r="82" spans="1:14" x14ac:dyDescent="0.2">
      <c r="A82" s="124"/>
      <c r="B82" s="124"/>
      <c r="C82" s="124"/>
      <c r="D82" s="124"/>
      <c r="E82" s="124"/>
      <c r="F82" s="124"/>
      <c r="G82" s="124"/>
      <c r="H82" s="124"/>
      <c r="I82" s="124"/>
      <c r="J82" s="127"/>
      <c r="K82" s="127"/>
      <c r="L82" s="124"/>
      <c r="M82" s="206"/>
      <c r="N82" s="124"/>
    </row>
    <row r="83" spans="1:14" x14ac:dyDescent="0.2">
      <c r="A83" s="124"/>
      <c r="B83" s="124"/>
      <c r="C83" s="124"/>
      <c r="D83" s="124"/>
      <c r="E83" s="124"/>
      <c r="F83" s="124"/>
      <c r="G83" s="124"/>
      <c r="H83" s="124"/>
      <c r="I83" s="124"/>
      <c r="J83" s="127"/>
      <c r="K83" s="127"/>
      <c r="L83" s="124"/>
      <c r="M83" s="206"/>
      <c r="N83" s="124"/>
    </row>
    <row r="84" spans="1:14" x14ac:dyDescent="0.2">
      <c r="A84" s="124"/>
      <c r="B84" s="124"/>
      <c r="C84" s="124"/>
      <c r="D84" s="124"/>
      <c r="E84" s="124"/>
      <c r="F84" s="124"/>
      <c r="G84" s="124"/>
      <c r="H84" s="124"/>
      <c r="I84" s="124"/>
      <c r="J84" s="127"/>
      <c r="K84" s="127"/>
      <c r="L84" s="124"/>
      <c r="M84" s="206"/>
      <c r="N84" s="124"/>
    </row>
    <row r="85" spans="1:14" x14ac:dyDescent="0.2">
      <c r="A85" s="124"/>
      <c r="B85" s="124"/>
      <c r="C85" s="124"/>
      <c r="D85" s="124"/>
      <c r="E85" s="124"/>
      <c r="F85" s="124"/>
      <c r="G85" s="124"/>
      <c r="H85" s="124"/>
      <c r="I85" s="124"/>
      <c r="J85" s="127"/>
      <c r="K85" s="127"/>
      <c r="L85" s="124"/>
      <c r="M85" s="206"/>
      <c r="N85" s="124"/>
    </row>
    <row r="86" spans="1:14" x14ac:dyDescent="0.2">
      <c r="A86" s="124"/>
      <c r="B86" s="124"/>
      <c r="C86" s="124"/>
      <c r="D86" s="124"/>
      <c r="E86" s="124"/>
      <c r="F86" s="124"/>
      <c r="G86" s="124"/>
      <c r="H86" s="124"/>
      <c r="I86" s="124"/>
      <c r="J86" s="127"/>
      <c r="K86" s="127"/>
      <c r="L86" s="124"/>
      <c r="M86" s="206"/>
      <c r="N86" s="124"/>
    </row>
    <row r="87" spans="1:14" x14ac:dyDescent="0.2">
      <c r="A87" s="124"/>
      <c r="B87" s="124"/>
      <c r="C87" s="124"/>
      <c r="D87" s="124"/>
      <c r="E87" s="124"/>
      <c r="F87" s="124"/>
      <c r="G87" s="124"/>
      <c r="H87" s="124"/>
      <c r="I87" s="124"/>
      <c r="J87" s="127"/>
      <c r="K87" s="127"/>
      <c r="L87" s="124"/>
      <c r="M87" s="206"/>
      <c r="N87" s="124"/>
    </row>
    <row r="88" spans="1:14" x14ac:dyDescent="0.2">
      <c r="A88" s="124"/>
      <c r="B88" s="124"/>
      <c r="C88" s="124"/>
      <c r="D88" s="124"/>
      <c r="E88" s="124"/>
      <c r="F88" s="124"/>
      <c r="G88" s="124"/>
      <c r="H88" s="124"/>
      <c r="I88" s="124"/>
      <c r="J88" s="127"/>
      <c r="K88" s="127"/>
      <c r="L88" s="124"/>
      <c r="M88" s="206"/>
      <c r="N88" s="124"/>
    </row>
    <row r="89" spans="1:14" x14ac:dyDescent="0.2">
      <c r="A89" s="124"/>
      <c r="B89" s="124"/>
      <c r="C89" s="124"/>
      <c r="D89" s="124"/>
      <c r="E89" s="124"/>
      <c r="F89" s="124"/>
      <c r="G89" s="124"/>
      <c r="H89" s="124"/>
      <c r="I89" s="124"/>
      <c r="J89" s="127"/>
      <c r="K89" s="127"/>
      <c r="L89" s="124"/>
      <c r="M89" s="206"/>
      <c r="N89" s="124"/>
    </row>
    <row r="90" spans="1:14" x14ac:dyDescent="0.2">
      <c r="A90" s="124"/>
      <c r="B90" s="124"/>
      <c r="C90" s="124"/>
      <c r="D90" s="124"/>
      <c r="E90" s="124"/>
      <c r="F90" s="124"/>
      <c r="G90" s="124"/>
      <c r="H90" s="124"/>
      <c r="I90" s="124"/>
      <c r="J90" s="127"/>
      <c r="K90" s="127"/>
      <c r="L90" s="124"/>
      <c r="M90" s="206"/>
      <c r="N90" s="124"/>
    </row>
    <row r="91" spans="1:14" x14ac:dyDescent="0.2">
      <c r="A91" s="124"/>
      <c r="B91" s="124"/>
      <c r="C91" s="124"/>
      <c r="D91" s="124"/>
      <c r="E91" s="124"/>
      <c r="F91" s="124"/>
      <c r="G91" s="124"/>
      <c r="H91" s="124"/>
      <c r="I91" s="124"/>
      <c r="J91" s="127"/>
      <c r="K91" s="127"/>
      <c r="L91" s="124"/>
      <c r="M91" s="206"/>
      <c r="N91" s="124"/>
    </row>
    <row r="92" spans="1:14" x14ac:dyDescent="0.2">
      <c r="A92" s="124"/>
      <c r="B92" s="124"/>
      <c r="C92" s="124"/>
      <c r="D92" s="124"/>
      <c r="E92" s="124"/>
      <c r="F92" s="124"/>
      <c r="G92" s="124"/>
      <c r="H92" s="124"/>
      <c r="I92" s="124"/>
      <c r="J92" s="127"/>
      <c r="K92" s="127"/>
      <c r="L92" s="124"/>
      <c r="M92" s="206"/>
      <c r="N92" s="124"/>
    </row>
    <row r="93" spans="1:14" x14ac:dyDescent="0.2">
      <c r="A93" s="124"/>
      <c r="B93" s="124"/>
      <c r="C93" s="124"/>
      <c r="D93" s="124"/>
      <c r="E93" s="124"/>
      <c r="F93" s="124"/>
      <c r="G93" s="124"/>
      <c r="H93" s="124"/>
      <c r="I93" s="124"/>
      <c r="J93" s="127"/>
      <c r="K93" s="127"/>
      <c r="L93" s="124"/>
      <c r="M93" s="206"/>
      <c r="N93" s="124"/>
    </row>
    <row r="94" spans="1:14" x14ac:dyDescent="0.2">
      <c r="A94" s="124"/>
      <c r="B94" s="124"/>
      <c r="C94" s="124"/>
      <c r="D94" s="124"/>
      <c r="E94" s="124"/>
      <c r="F94" s="124"/>
      <c r="G94" s="124"/>
      <c r="H94" s="124"/>
      <c r="I94" s="124"/>
      <c r="J94" s="127"/>
      <c r="K94" s="127"/>
      <c r="L94" s="124"/>
      <c r="M94" s="206"/>
      <c r="N94" s="124"/>
    </row>
    <row r="95" spans="1:14" x14ac:dyDescent="0.2">
      <c r="A95" s="124"/>
      <c r="B95" s="124"/>
      <c r="C95" s="124"/>
      <c r="D95" s="124"/>
      <c r="E95" s="124"/>
      <c r="F95" s="124"/>
      <c r="G95" s="124"/>
      <c r="H95" s="124"/>
      <c r="I95" s="124"/>
      <c r="J95" s="127"/>
      <c r="K95" s="127"/>
      <c r="L95" s="124"/>
      <c r="M95" s="206"/>
      <c r="N95" s="124"/>
    </row>
    <row r="96" spans="1:14" x14ac:dyDescent="0.2">
      <c r="A96" s="124"/>
      <c r="B96" s="124"/>
      <c r="C96" s="124"/>
      <c r="D96" s="124"/>
      <c r="E96" s="124"/>
      <c r="F96" s="124"/>
      <c r="G96" s="124"/>
      <c r="H96" s="124"/>
      <c r="I96" s="124"/>
      <c r="J96" s="127"/>
      <c r="K96" s="127"/>
      <c r="L96" s="124"/>
      <c r="M96" s="206"/>
      <c r="N96" s="124"/>
    </row>
    <row r="97" spans="1:14" x14ac:dyDescent="0.2">
      <c r="A97" s="124"/>
      <c r="B97" s="124"/>
      <c r="C97" s="124"/>
      <c r="D97" s="124"/>
      <c r="E97" s="124"/>
      <c r="F97" s="124"/>
      <c r="G97" s="124"/>
      <c r="H97" s="124"/>
      <c r="I97" s="124"/>
      <c r="J97" s="127"/>
      <c r="K97" s="127"/>
      <c r="L97" s="124"/>
      <c r="M97" s="206"/>
      <c r="N97" s="124"/>
    </row>
    <row r="98" spans="1:14" x14ac:dyDescent="0.2">
      <c r="A98" s="124"/>
      <c r="B98" s="124"/>
      <c r="C98" s="124"/>
      <c r="D98" s="124"/>
      <c r="E98" s="124"/>
      <c r="F98" s="124"/>
      <c r="G98" s="124"/>
      <c r="H98" s="124"/>
      <c r="I98" s="124"/>
      <c r="J98" s="127"/>
      <c r="K98" s="127"/>
      <c r="L98" s="124"/>
      <c r="M98" s="206"/>
      <c r="N98" s="124"/>
    </row>
    <row r="99" spans="1:14" x14ac:dyDescent="0.2">
      <c r="A99" s="207"/>
      <c r="B99" s="207"/>
      <c r="C99" s="207"/>
      <c r="D99" s="207"/>
      <c r="E99" s="207"/>
      <c r="F99" s="207"/>
      <c r="G99" s="207"/>
      <c r="H99" s="207"/>
      <c r="I99" s="207"/>
      <c r="J99" s="208"/>
      <c r="K99" s="208"/>
      <c r="L99" s="207"/>
      <c r="M99" s="209"/>
      <c r="N99" s="207"/>
    </row>
    <row r="100" spans="1:14" x14ac:dyDescent="0.2">
      <c r="A100" s="140"/>
      <c r="B100" s="140"/>
      <c r="C100" s="204"/>
      <c r="D100" s="140"/>
      <c r="E100" s="140"/>
      <c r="F100" s="140"/>
      <c r="G100" s="140"/>
      <c r="H100" s="140"/>
      <c r="I100" s="140"/>
      <c r="J100" s="205"/>
      <c r="K100" s="141"/>
      <c r="L100" s="140"/>
      <c r="M100" s="140"/>
      <c r="N100" s="140"/>
    </row>
  </sheetData>
  <mergeCells count="1">
    <mergeCell ref="A1:N1"/>
  </mergeCells>
  <conditionalFormatting sqref="L3:L99">
    <cfRule type="cellIs" dxfId="68" priority="1" operator="equal">
      <formula>"PAGO"</formula>
    </cfRule>
    <cfRule type="containsText" dxfId="67" priority="2" operator="containsText" text="PENDIENTE">
      <formula>NOT(ISERROR(SEARCH("PENDIENTE",L3)))</formula>
    </cfRule>
  </conditionalFormatting>
  <dataValidations count="1">
    <dataValidation type="list" allowBlank="1" showInputMessage="1" showErrorMessage="1" sqref="L3:L99" xr:uid="{580965E4-4257-43E5-A9D8-668FC5639F9F}">
      <formula1>"PENDIENTE,PAGO"</formula1>
    </dataValidation>
  </dataValidations>
  <hyperlinks>
    <hyperlink ref="A1:N1" location="INDEX!A1" display="DETALLE DE VIAJES A EXPRESOS" xr:uid="{0D68FDD3-7BBC-4BDE-8A8A-A9BA12F83371}"/>
  </hyperlinks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EDD3-5669-48F0-9B54-C83BE3C59503}">
  <sheetPr codeName="Hoja3"/>
  <dimension ref="A1:K501"/>
  <sheetViews>
    <sheetView topLeftCell="A64" zoomScaleNormal="100" workbookViewId="0">
      <selection activeCell="C72" sqref="C72"/>
    </sheetView>
  </sheetViews>
  <sheetFormatPr baseColWidth="10" defaultRowHeight="12.75" x14ac:dyDescent="0.2"/>
  <cols>
    <col min="1" max="1" width="12" customWidth="1"/>
    <col min="2" max="2" width="31" bestFit="1" customWidth="1"/>
    <col min="3" max="3" width="19.28515625" customWidth="1"/>
    <col min="4" max="4" width="48.28515625" customWidth="1"/>
    <col min="5" max="5" width="30.5703125" bestFit="1" customWidth="1"/>
    <col min="7" max="7" width="0" hidden="1" customWidth="1"/>
    <col min="8" max="8" width="11.5703125" hidden="1" customWidth="1"/>
    <col min="9" max="10" width="25.140625" customWidth="1"/>
    <col min="11" max="11" width="28.28515625" customWidth="1"/>
  </cols>
  <sheetData>
    <row r="1" spans="1:11" ht="48" customHeight="1" x14ac:dyDescent="0.2">
      <c r="A1" s="266" t="s">
        <v>69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</row>
    <row r="2" spans="1:11" s="142" customFormat="1" ht="48" customHeight="1" x14ac:dyDescent="0.2">
      <c r="A2" s="143" t="s">
        <v>71</v>
      </c>
      <c r="B2" s="144" t="s">
        <v>72</v>
      </c>
      <c r="C2" s="144" t="s">
        <v>55</v>
      </c>
      <c r="D2" s="144" t="s">
        <v>5</v>
      </c>
      <c r="E2" s="144" t="s">
        <v>73</v>
      </c>
      <c r="F2" s="144" t="s">
        <v>24</v>
      </c>
      <c r="G2" s="144" t="s">
        <v>74</v>
      </c>
      <c r="H2" s="144" t="s">
        <v>56</v>
      </c>
      <c r="I2" s="144" t="s">
        <v>114</v>
      </c>
      <c r="J2" s="144" t="s">
        <v>112</v>
      </c>
      <c r="K2" s="145" t="s">
        <v>75</v>
      </c>
    </row>
    <row r="3" spans="1:11" s="121" customFormat="1" x14ac:dyDescent="0.2">
      <c r="A3" s="156">
        <v>487</v>
      </c>
      <c r="B3" s="157" t="s">
        <v>210</v>
      </c>
      <c r="C3" s="157" t="s">
        <v>211</v>
      </c>
      <c r="D3" s="157" t="s">
        <v>166</v>
      </c>
      <c r="E3" s="157" t="s">
        <v>168</v>
      </c>
      <c r="F3" s="157">
        <v>1669.1</v>
      </c>
      <c r="G3" s="157"/>
      <c r="H3" s="157"/>
      <c r="I3" s="158">
        <v>34917.57</v>
      </c>
      <c r="J3" s="76" t="e">
        <f>INDEX(Tabla3[IMPORTE EXPRESO],MATCH(RENTABILIDAD[[#This Row],[ID VIAJE ]],Tabla3[ID VIAJE],))</f>
        <v>#N/A</v>
      </c>
      <c r="K3" s="154" t="e">
        <f>RENTABILIDAD[[#This Row],[IMPORTE FACTURADO INT]]-RENTABILIDAD[[#This Row],[IMPORTE EXPRESOS]]</f>
        <v>#N/A</v>
      </c>
    </row>
    <row r="4" spans="1:11" s="121" customFormat="1" x14ac:dyDescent="0.2">
      <c r="A4" s="156">
        <v>488</v>
      </c>
      <c r="B4" s="157" t="s">
        <v>210</v>
      </c>
      <c r="C4" s="157" t="s">
        <v>212</v>
      </c>
      <c r="D4" s="157" t="s">
        <v>213</v>
      </c>
      <c r="E4" s="157" t="s">
        <v>201</v>
      </c>
      <c r="F4" s="157">
        <v>1825.15</v>
      </c>
      <c r="G4" s="157"/>
      <c r="H4" s="157"/>
      <c r="I4" s="158">
        <v>33619.26</v>
      </c>
      <c r="J4" s="76" t="e">
        <f>INDEX(Tabla3[IMPORTE EXPRESO],MATCH(RENTABILIDAD[[#This Row],[ID VIAJE ]],Tabla3[ID VIAJE],))</f>
        <v>#N/A</v>
      </c>
      <c r="K4" s="154" t="e">
        <f>RENTABILIDAD[[#This Row],[IMPORTE FACTURADO INT]]-RENTABILIDAD[[#This Row],[IMPORTE EXPRESOS]]</f>
        <v>#N/A</v>
      </c>
    </row>
    <row r="5" spans="1:11" s="121" customFormat="1" x14ac:dyDescent="0.2">
      <c r="A5" s="156">
        <v>489</v>
      </c>
      <c r="B5" s="157" t="s">
        <v>210</v>
      </c>
      <c r="C5" s="157" t="s">
        <v>214</v>
      </c>
      <c r="D5" s="157" t="s">
        <v>188</v>
      </c>
      <c r="E5" s="157" t="s">
        <v>167</v>
      </c>
      <c r="F5" s="157">
        <v>2455.2199999999998</v>
      </c>
      <c r="G5" s="157"/>
      <c r="H5" s="157"/>
      <c r="I5" s="158">
        <v>50921.26</v>
      </c>
      <c r="J5" s="76" t="e">
        <f>INDEX(Tabla3[IMPORTE EXPRESO],MATCH(RENTABILIDAD[[#This Row],[ID VIAJE ]],Tabla3[ID VIAJE],))</f>
        <v>#N/A</v>
      </c>
      <c r="K5" s="154" t="e">
        <f>RENTABILIDAD[[#This Row],[IMPORTE FACTURADO INT]]-RENTABILIDAD[[#This Row],[IMPORTE EXPRESOS]]</f>
        <v>#N/A</v>
      </c>
    </row>
    <row r="6" spans="1:11" s="121" customFormat="1" x14ac:dyDescent="0.2">
      <c r="A6" s="156">
        <v>490</v>
      </c>
      <c r="B6" s="157" t="s">
        <v>160</v>
      </c>
      <c r="C6" s="157" t="s">
        <v>215</v>
      </c>
      <c r="D6" s="157" t="s">
        <v>117</v>
      </c>
      <c r="E6" s="157" t="s">
        <v>216</v>
      </c>
      <c r="F6" s="157">
        <v>1157.43</v>
      </c>
      <c r="G6" s="157"/>
      <c r="H6" s="157"/>
      <c r="I6" s="158">
        <v>22454.14</v>
      </c>
      <c r="J6" s="76" t="e">
        <f>INDEX(Tabla3[IMPORTE EXPRESO],MATCH(RENTABILIDAD[[#This Row],[ID VIAJE ]],Tabla3[ID VIAJE],))</f>
        <v>#N/A</v>
      </c>
      <c r="K6" s="154" t="e">
        <f>RENTABILIDAD[[#This Row],[IMPORTE FACTURADO INT]]-RENTABILIDAD[[#This Row],[IMPORTE EXPRESOS]]</f>
        <v>#N/A</v>
      </c>
    </row>
    <row r="7" spans="1:11" s="121" customFormat="1" x14ac:dyDescent="0.2">
      <c r="A7" s="156">
        <v>497</v>
      </c>
      <c r="B7" s="157" t="s">
        <v>130</v>
      </c>
      <c r="C7" s="157" t="s">
        <v>217</v>
      </c>
      <c r="D7" s="157" t="s">
        <v>218</v>
      </c>
      <c r="E7" s="157" t="s">
        <v>219</v>
      </c>
      <c r="F7" s="157">
        <v>281.39999999999998</v>
      </c>
      <c r="G7" s="157"/>
      <c r="H7" s="157"/>
      <c r="I7" s="158">
        <v>6306.17</v>
      </c>
      <c r="J7" s="76" t="e">
        <f>INDEX(Tabla3[IMPORTE EXPRESO],MATCH(RENTABILIDAD[[#This Row],[ID VIAJE ]],Tabla3[ID VIAJE],))</f>
        <v>#N/A</v>
      </c>
      <c r="K7" s="154" t="e">
        <f>RENTABILIDAD[[#This Row],[IMPORTE FACTURADO INT]]-RENTABILIDAD[[#This Row],[IMPORTE EXPRESOS]]</f>
        <v>#N/A</v>
      </c>
    </row>
    <row r="8" spans="1:11" x14ac:dyDescent="0.2">
      <c r="A8" s="156">
        <v>499</v>
      </c>
      <c r="B8" s="157" t="s">
        <v>206</v>
      </c>
      <c r="C8" s="157" t="s">
        <v>220</v>
      </c>
      <c r="D8" s="157" t="s">
        <v>221</v>
      </c>
      <c r="E8" s="157" t="s">
        <v>179</v>
      </c>
      <c r="F8" s="157">
        <v>377.41</v>
      </c>
      <c r="G8" s="157"/>
      <c r="H8" s="157"/>
      <c r="I8" s="158">
        <v>6763.19</v>
      </c>
      <c r="J8" s="76" t="e">
        <f>INDEX(Tabla3[IMPORTE EXPRESO],MATCH(RENTABILIDAD[[#This Row],[ID VIAJE ]],Tabla3[ID VIAJE],))</f>
        <v>#N/A</v>
      </c>
      <c r="K8" s="154" t="e">
        <f>RENTABILIDAD[[#This Row],[IMPORTE FACTURADO INT]]-RENTABILIDAD[[#This Row],[IMPORTE EXPRESOS]]</f>
        <v>#N/A</v>
      </c>
    </row>
    <row r="9" spans="1:11" x14ac:dyDescent="0.2">
      <c r="A9" s="156">
        <v>500</v>
      </c>
      <c r="B9" s="195" t="s">
        <v>373</v>
      </c>
      <c r="C9" s="157" t="s">
        <v>222</v>
      </c>
      <c r="D9" s="157" t="s">
        <v>221</v>
      </c>
      <c r="E9" s="157" t="s">
        <v>182</v>
      </c>
      <c r="F9" s="157">
        <v>654.80999999999995</v>
      </c>
      <c r="G9" s="157"/>
      <c r="H9" s="157"/>
      <c r="I9" s="158">
        <v>12506.87</v>
      </c>
      <c r="J9" s="76">
        <v>6774.7</v>
      </c>
      <c r="K9" s="154">
        <f>RENTABILIDAD[[#This Row],[IMPORTE FACTURADO INT]]-RENTABILIDAD[[#This Row],[IMPORTE EXPRESOS]]</f>
        <v>5732.170000000001</v>
      </c>
    </row>
    <row r="10" spans="1:11" x14ac:dyDescent="0.2">
      <c r="A10" s="156">
        <v>501</v>
      </c>
      <c r="B10" s="195" t="s">
        <v>373</v>
      </c>
      <c r="C10" s="157" t="s">
        <v>223</v>
      </c>
      <c r="D10" s="157" t="s">
        <v>221</v>
      </c>
      <c r="E10" s="157" t="s">
        <v>224</v>
      </c>
      <c r="F10" s="157">
        <v>189.81</v>
      </c>
      <c r="G10" s="157"/>
      <c r="H10" s="157"/>
      <c r="I10" s="158">
        <v>4836.3599999999997</v>
      </c>
      <c r="J10" s="76">
        <v>3461.04</v>
      </c>
      <c r="K10" s="154">
        <f>RENTABILIDAD[[#This Row],[IMPORTE FACTURADO INT]]-RENTABILIDAD[[#This Row],[IMPORTE EXPRESOS]]</f>
        <v>1375.3199999999997</v>
      </c>
    </row>
    <row r="11" spans="1:11" x14ac:dyDescent="0.2">
      <c r="A11" s="156">
        <v>522</v>
      </c>
      <c r="B11" s="157" t="s">
        <v>227</v>
      </c>
      <c r="C11" s="157" t="s">
        <v>225</v>
      </c>
      <c r="D11" s="157" t="s">
        <v>226</v>
      </c>
      <c r="E11" s="157" t="s">
        <v>203</v>
      </c>
      <c r="F11" s="157">
        <v>3775.36</v>
      </c>
      <c r="G11" s="157"/>
      <c r="H11" s="157"/>
      <c r="I11" s="158">
        <v>100160.3</v>
      </c>
      <c r="J11" s="76" t="e">
        <f>INDEX(Tabla3[IMPORTE EXPRESO],MATCH(RENTABILIDAD[[#This Row],[ID VIAJE ]],Tabla3[ID VIAJE],))</f>
        <v>#N/A</v>
      </c>
      <c r="K11" s="154" t="e">
        <f>RENTABILIDAD[[#This Row],[IMPORTE FACTURADO INT]]-RENTABILIDAD[[#This Row],[IMPORTE EXPRESOS]]</f>
        <v>#N/A</v>
      </c>
    </row>
    <row r="12" spans="1:11" x14ac:dyDescent="0.2">
      <c r="A12" s="156">
        <v>532</v>
      </c>
      <c r="B12" s="157" t="s">
        <v>206</v>
      </c>
      <c r="C12" s="157" t="s">
        <v>228</v>
      </c>
      <c r="D12" s="157" t="s">
        <v>194</v>
      </c>
      <c r="E12" s="157" t="s">
        <v>195</v>
      </c>
      <c r="F12" s="157">
        <v>580.55999999999995</v>
      </c>
      <c r="G12" s="157"/>
      <c r="H12" s="157"/>
      <c r="I12" s="158">
        <v>10026.27</v>
      </c>
      <c r="J12" s="76" t="e">
        <f>INDEX(Tabla3[IMPORTE EXPRESO],MATCH(RENTABILIDAD[[#This Row],[ID VIAJE ]],Tabla3[ID VIAJE],))</f>
        <v>#N/A</v>
      </c>
      <c r="K12" s="154" t="e">
        <f>RENTABILIDAD[[#This Row],[IMPORTE FACTURADO INT]]-RENTABILIDAD[[#This Row],[IMPORTE EXPRESOS]]</f>
        <v>#N/A</v>
      </c>
    </row>
    <row r="13" spans="1:11" x14ac:dyDescent="0.2">
      <c r="A13" s="156">
        <v>533</v>
      </c>
      <c r="B13" s="157" t="s">
        <v>206</v>
      </c>
      <c r="C13" s="157" t="s">
        <v>229</v>
      </c>
      <c r="D13" s="157" t="s">
        <v>198</v>
      </c>
      <c r="E13" s="157" t="s">
        <v>230</v>
      </c>
      <c r="F13" s="157">
        <v>2580.6</v>
      </c>
      <c r="G13" s="157"/>
      <c r="H13" s="157"/>
      <c r="I13" s="158">
        <v>40179.94</v>
      </c>
      <c r="J13" s="76" t="e">
        <f>INDEX(Tabla3[IMPORTE EXPRESO],MATCH(RENTABILIDAD[[#This Row],[ID VIAJE ]],Tabla3[ID VIAJE],))</f>
        <v>#N/A</v>
      </c>
      <c r="K13" s="154" t="e">
        <f>RENTABILIDAD[[#This Row],[IMPORTE FACTURADO INT]]-RENTABILIDAD[[#This Row],[IMPORTE EXPRESOS]]</f>
        <v>#N/A</v>
      </c>
    </row>
    <row r="14" spans="1:11" x14ac:dyDescent="0.2">
      <c r="A14" s="156">
        <v>534</v>
      </c>
      <c r="B14" s="157" t="s">
        <v>173</v>
      </c>
      <c r="C14" s="157" t="s">
        <v>231</v>
      </c>
      <c r="D14" s="157" t="s">
        <v>137</v>
      </c>
      <c r="E14" s="157" t="s">
        <v>163</v>
      </c>
      <c r="F14" s="157">
        <v>755.68</v>
      </c>
      <c r="G14" s="157"/>
      <c r="H14" s="157"/>
      <c r="I14" s="158">
        <v>16080.87</v>
      </c>
      <c r="J14" s="76" t="e">
        <f>INDEX(Tabla3[IMPORTE EXPRESO],MATCH(RENTABILIDAD[[#This Row],[ID VIAJE ]],Tabla3[ID VIAJE],))</f>
        <v>#N/A</v>
      </c>
      <c r="K14" s="154" t="e">
        <f>RENTABILIDAD[[#This Row],[IMPORTE FACTURADO INT]]-RENTABILIDAD[[#This Row],[IMPORTE EXPRESOS]]</f>
        <v>#N/A</v>
      </c>
    </row>
    <row r="15" spans="1:11" x14ac:dyDescent="0.2">
      <c r="A15" s="156">
        <v>535</v>
      </c>
      <c r="B15" s="157" t="s">
        <v>162</v>
      </c>
      <c r="C15" s="157" t="s">
        <v>232</v>
      </c>
      <c r="D15" s="157" t="s">
        <v>233</v>
      </c>
      <c r="E15" s="157" t="s">
        <v>234</v>
      </c>
      <c r="F15" s="157">
        <v>3514.09</v>
      </c>
      <c r="G15" s="157"/>
      <c r="H15" s="157"/>
      <c r="I15" s="158">
        <v>73514.759999999995</v>
      </c>
      <c r="J15" s="76" t="e">
        <f>INDEX(Tabla3[IMPORTE EXPRESO],MATCH(RENTABILIDAD[[#This Row],[ID VIAJE ]],Tabla3[ID VIAJE],))</f>
        <v>#N/A</v>
      </c>
      <c r="K15" s="154" t="e">
        <f>RENTABILIDAD[[#This Row],[IMPORTE FACTURADO INT]]-RENTABILIDAD[[#This Row],[IMPORTE EXPRESOS]]</f>
        <v>#N/A</v>
      </c>
    </row>
    <row r="16" spans="1:11" x14ac:dyDescent="0.2">
      <c r="A16" s="156">
        <v>536</v>
      </c>
      <c r="B16" s="157" t="s">
        <v>208</v>
      </c>
      <c r="C16" s="157" t="s">
        <v>235</v>
      </c>
      <c r="D16" s="157" t="s">
        <v>207</v>
      </c>
      <c r="E16" s="157" t="s">
        <v>209</v>
      </c>
      <c r="F16" s="157">
        <v>206.28</v>
      </c>
      <c r="G16" s="157"/>
      <c r="H16" s="157"/>
      <c r="I16" s="158">
        <v>3424.25</v>
      </c>
      <c r="J16" s="76" t="e">
        <f>INDEX(Tabla3[IMPORTE EXPRESO],MATCH(RENTABILIDAD[[#This Row],[ID VIAJE ]],Tabla3[ID VIAJE],))</f>
        <v>#N/A</v>
      </c>
      <c r="K16" s="154" t="e">
        <f>RENTABILIDAD[[#This Row],[IMPORTE FACTURADO INT]]-RENTABILIDAD[[#This Row],[IMPORTE EXPRESOS]]</f>
        <v>#N/A</v>
      </c>
    </row>
    <row r="17" spans="1:11" x14ac:dyDescent="0.2">
      <c r="A17" s="151">
        <v>44</v>
      </c>
      <c r="B17" s="195" t="s">
        <v>373</v>
      </c>
      <c r="C17" s="14" t="s">
        <v>250</v>
      </c>
      <c r="D17" s="14" t="s">
        <v>192</v>
      </c>
      <c r="E17" s="14" t="s">
        <v>193</v>
      </c>
      <c r="F17" s="14">
        <v>5329.74</v>
      </c>
      <c r="G17" s="152"/>
      <c r="H17" s="152"/>
      <c r="I17" s="153">
        <v>87940.71</v>
      </c>
      <c r="J17" s="76">
        <f>INDEX(Tabla3[IMPORTE EXPRESO],MATCH(RENTABILIDAD[[#This Row],[ID VIAJE ]],Tabla3[ID VIAJE],))</f>
        <v>50160</v>
      </c>
      <c r="K17" s="154">
        <f>RENTABILIDAD[[#This Row],[IMPORTE FACTURADO INT]]-RENTABILIDAD[[#This Row],[IMPORTE EXPRESOS]]</f>
        <v>37780.710000000006</v>
      </c>
    </row>
    <row r="18" spans="1:11" x14ac:dyDescent="0.2">
      <c r="A18" s="156">
        <v>45</v>
      </c>
      <c r="B18" s="157" t="s">
        <v>206</v>
      </c>
      <c r="C18" s="157" t="s">
        <v>251</v>
      </c>
      <c r="D18" s="157" t="s">
        <v>199</v>
      </c>
      <c r="E18" s="157" t="s">
        <v>200</v>
      </c>
      <c r="F18" s="157">
        <v>893.76</v>
      </c>
      <c r="G18" s="157"/>
      <c r="H18" s="157"/>
      <c r="I18" s="158">
        <v>13978.41</v>
      </c>
      <c r="J18" s="76">
        <f>INDEX(Tabla3[IMPORTE EXPRESO],MATCH(RENTABILIDAD[[#This Row],[ID VIAJE ]],Tabla3[ID VIAJE],))</f>
        <v>0</v>
      </c>
      <c r="K18" s="154">
        <f>RENTABILIDAD[[#This Row],[IMPORTE FACTURADO INT]]-RENTABILIDAD[[#This Row],[IMPORTE EXPRESOS]]</f>
        <v>13978.41</v>
      </c>
    </row>
    <row r="19" spans="1:11" x14ac:dyDescent="0.2">
      <c r="A19" s="156">
        <v>46</v>
      </c>
      <c r="B19" s="157" t="s">
        <v>162</v>
      </c>
      <c r="C19" s="157" t="s">
        <v>252</v>
      </c>
      <c r="D19" s="157" t="s">
        <v>174</v>
      </c>
      <c r="E19" s="157" t="s">
        <v>253</v>
      </c>
      <c r="F19" s="157">
        <v>201.6</v>
      </c>
      <c r="G19" s="157"/>
      <c r="H19" s="157"/>
      <c r="I19" s="158">
        <v>5221.4399999999996</v>
      </c>
      <c r="J19" s="76">
        <f>INDEX(Tabla3[IMPORTE EXPRESO],MATCH(RENTABILIDAD[[#This Row],[ID VIAJE ]],Tabla3[ID VIAJE],))</f>
        <v>0</v>
      </c>
      <c r="K19" s="154">
        <f>RENTABILIDAD[[#This Row],[IMPORTE FACTURADO INT]]-RENTABILIDAD[[#This Row],[IMPORTE EXPRESOS]]</f>
        <v>5221.4399999999996</v>
      </c>
    </row>
    <row r="20" spans="1:11" x14ac:dyDescent="0.2">
      <c r="A20" s="156">
        <v>47</v>
      </c>
      <c r="B20" s="157" t="s">
        <v>190</v>
      </c>
      <c r="C20" s="157" t="s">
        <v>254</v>
      </c>
      <c r="D20" s="157" t="s">
        <v>189</v>
      </c>
      <c r="E20" s="157" t="s">
        <v>191</v>
      </c>
      <c r="F20" s="157">
        <v>2158.4499999999998</v>
      </c>
      <c r="G20" s="157"/>
      <c r="H20" s="157"/>
      <c r="I20" s="158">
        <v>41873.93</v>
      </c>
      <c r="J20" s="76">
        <f>INDEX(Tabla3[IMPORTE EXPRESO],MATCH(RENTABILIDAD[[#This Row],[ID VIAJE ]],Tabla3[ID VIAJE],))</f>
        <v>0</v>
      </c>
      <c r="K20" s="154">
        <f>RENTABILIDAD[[#This Row],[IMPORTE FACTURADO INT]]-RENTABILIDAD[[#This Row],[IMPORTE EXPRESOS]]</f>
        <v>41873.93</v>
      </c>
    </row>
    <row r="21" spans="1:11" x14ac:dyDescent="0.2">
      <c r="A21" s="156">
        <v>48</v>
      </c>
      <c r="B21" s="157" t="s">
        <v>206</v>
      </c>
      <c r="C21" s="157" t="s">
        <v>255</v>
      </c>
      <c r="D21" s="157" t="s">
        <v>199</v>
      </c>
      <c r="E21" s="157" t="s">
        <v>200</v>
      </c>
      <c r="F21" s="157">
        <v>1825.96</v>
      </c>
      <c r="G21" s="157"/>
      <c r="H21" s="157"/>
      <c r="I21" s="158">
        <v>28430.2</v>
      </c>
      <c r="J21" s="76">
        <f>INDEX(Tabla3[IMPORTE EXPRESO],MATCH(RENTABILIDAD[[#This Row],[ID VIAJE ]],Tabla3[ID VIAJE],))</f>
        <v>0</v>
      </c>
      <c r="K21" s="154">
        <f>RENTABILIDAD[[#This Row],[IMPORTE FACTURADO INT]]-RENTABILIDAD[[#This Row],[IMPORTE EXPRESOS]]</f>
        <v>28430.2</v>
      </c>
    </row>
    <row r="22" spans="1:11" x14ac:dyDescent="0.2">
      <c r="A22" s="156">
        <v>49</v>
      </c>
      <c r="B22" s="157" t="s">
        <v>373</v>
      </c>
      <c r="C22" s="157" t="s">
        <v>256</v>
      </c>
      <c r="D22" s="157" t="s">
        <v>175</v>
      </c>
      <c r="E22" s="157" t="s">
        <v>176</v>
      </c>
      <c r="F22" s="157">
        <v>18.559999999999999</v>
      </c>
      <c r="G22" s="157"/>
      <c r="H22" s="157"/>
      <c r="I22" s="158">
        <v>2715.39</v>
      </c>
      <c r="J22" s="76">
        <f>INDEX(Tabla3[IMPORTE EXPRESO],MATCH(RENTABILIDAD[[#This Row],[ID VIAJE ]],Tabla3[ID VIAJE],))</f>
        <v>0</v>
      </c>
      <c r="K22" s="154">
        <f>RENTABILIDAD[[#This Row],[IMPORTE FACTURADO INT]]-RENTABILIDAD[[#This Row],[IMPORTE EXPRESOS]]</f>
        <v>2715.39</v>
      </c>
    </row>
    <row r="23" spans="1:11" x14ac:dyDescent="0.2">
      <c r="A23" s="156">
        <v>50</v>
      </c>
      <c r="B23" s="157" t="s">
        <v>259</v>
      </c>
      <c r="C23" s="157" t="s">
        <v>257</v>
      </c>
      <c r="D23" s="157" t="s">
        <v>258</v>
      </c>
      <c r="E23" s="157" t="s">
        <v>260</v>
      </c>
      <c r="F23" s="157">
        <v>1409.66</v>
      </c>
      <c r="G23" s="157"/>
      <c r="H23" s="157"/>
      <c r="I23" s="158">
        <v>21116.71</v>
      </c>
      <c r="J23" s="76">
        <f>INDEX(Tabla3[IMPORTE EXPRESO],MATCH(RENTABILIDAD[[#This Row],[ID VIAJE ]],Tabla3[ID VIAJE],))</f>
        <v>0</v>
      </c>
      <c r="K23" s="154">
        <f>RENTABILIDAD[[#This Row],[IMPORTE FACTURADO INT]]-RENTABILIDAD[[#This Row],[IMPORTE EXPRESOS]]</f>
        <v>21116.71</v>
      </c>
    </row>
    <row r="24" spans="1:11" x14ac:dyDescent="0.2">
      <c r="A24" s="151">
        <v>51</v>
      </c>
      <c r="B24" s="14" t="s">
        <v>263</v>
      </c>
      <c r="C24" s="14" t="s">
        <v>261</v>
      </c>
      <c r="D24" s="14" t="s">
        <v>262</v>
      </c>
      <c r="E24" s="14" t="s">
        <v>264</v>
      </c>
      <c r="F24" s="14">
        <v>1364.52</v>
      </c>
      <c r="G24" s="152"/>
      <c r="H24" s="152"/>
      <c r="I24" s="153">
        <v>25748.49</v>
      </c>
      <c r="J24" s="76">
        <f>INDEX(Tabla3[IMPORTE EXPRESO],MATCH(RENTABILIDAD[[#This Row],[ID VIAJE ]],Tabla3[ID VIAJE],))</f>
        <v>0</v>
      </c>
      <c r="K24" s="154">
        <f>RENTABILIDAD[[#This Row],[IMPORTE FACTURADO INT]]-RENTABILIDAD[[#This Row],[IMPORTE EXPRESOS]]</f>
        <v>25748.49</v>
      </c>
    </row>
    <row r="25" spans="1:11" x14ac:dyDescent="0.2">
      <c r="A25" s="151">
        <v>101</v>
      </c>
      <c r="B25" s="14" t="s">
        <v>130</v>
      </c>
      <c r="C25" s="14" t="s">
        <v>313</v>
      </c>
      <c r="D25" s="14" t="s">
        <v>314</v>
      </c>
      <c r="E25" s="14" t="s">
        <v>315</v>
      </c>
      <c r="F25" s="14">
        <v>948</v>
      </c>
      <c r="G25" s="152"/>
      <c r="H25" s="152"/>
      <c r="I25" s="153">
        <v>19585.68</v>
      </c>
      <c r="J25" s="76">
        <f>INDEX(Tabla3[IMPORTE EXPRESO],MATCH(RENTABILIDAD[[#This Row],[ID VIAJE ]],Tabla3[ID VIAJE],))</f>
        <v>0</v>
      </c>
      <c r="K25" s="154">
        <f>RENTABILIDAD[[#This Row],[IMPORTE FACTURADO INT]]-RENTABILIDAD[[#This Row],[IMPORTE EXPRESOS]]</f>
        <v>19585.68</v>
      </c>
    </row>
    <row r="26" spans="1:11" x14ac:dyDescent="0.2">
      <c r="A26" s="151">
        <v>104</v>
      </c>
      <c r="B26" s="14" t="s">
        <v>130</v>
      </c>
      <c r="C26" s="14" t="s">
        <v>318</v>
      </c>
      <c r="D26" s="14" t="s">
        <v>314</v>
      </c>
      <c r="E26" s="14" t="s">
        <v>319</v>
      </c>
      <c r="F26" s="14">
        <v>2844</v>
      </c>
      <c r="G26" s="152"/>
      <c r="H26" s="152"/>
      <c r="I26" s="153">
        <v>57846.96</v>
      </c>
      <c r="J26" s="76">
        <f>INDEX(Tabla3[IMPORTE EXPRESO],MATCH(RENTABILIDAD[[#This Row],[ID VIAJE ]],Tabla3[ID VIAJE],))</f>
        <v>0</v>
      </c>
      <c r="K26" s="154">
        <f>RENTABILIDAD[[#This Row],[IMPORTE FACTURADO INT]]-RENTABILIDAD[[#This Row],[IMPORTE EXPRESOS]]</f>
        <v>57846.96</v>
      </c>
    </row>
    <row r="27" spans="1:11" x14ac:dyDescent="0.2">
      <c r="A27" s="151">
        <v>106</v>
      </c>
      <c r="B27" s="14" t="s">
        <v>130</v>
      </c>
      <c r="C27" s="14" t="s">
        <v>321</v>
      </c>
      <c r="D27" s="14" t="s">
        <v>314</v>
      </c>
      <c r="E27" s="14" t="s">
        <v>315</v>
      </c>
      <c r="F27" s="14">
        <v>948</v>
      </c>
      <c r="G27" s="152"/>
      <c r="H27" s="152"/>
      <c r="I27" s="153">
        <v>19585.68</v>
      </c>
      <c r="J27" s="76">
        <f>INDEX(Tabla3[IMPORTE EXPRESO],MATCH(RENTABILIDAD[[#This Row],[ID VIAJE ]],Tabla3[ID VIAJE],))</f>
        <v>0</v>
      </c>
      <c r="K27" s="154">
        <f>RENTABILIDAD[[#This Row],[IMPORTE FACTURADO INT]]-RENTABILIDAD[[#This Row],[IMPORTE EXPRESOS]]</f>
        <v>19585.68</v>
      </c>
    </row>
    <row r="28" spans="1:11" x14ac:dyDescent="0.2">
      <c r="A28" s="156">
        <v>108</v>
      </c>
      <c r="B28" s="157" t="s">
        <v>119</v>
      </c>
      <c r="C28" s="157" t="s">
        <v>325</v>
      </c>
      <c r="D28" s="157" t="s">
        <v>326</v>
      </c>
      <c r="E28" s="157" t="s">
        <v>328</v>
      </c>
      <c r="F28" s="157">
        <v>191.68</v>
      </c>
      <c r="G28" s="157"/>
      <c r="H28" s="157"/>
      <c r="I28" s="158">
        <v>2997.88</v>
      </c>
      <c r="J28" s="76">
        <f>INDEX(Tabla3[IMPORTE EXPRESO],MATCH(RENTABILIDAD[[#This Row],[ID VIAJE ]],Tabla3[ID VIAJE],))</f>
        <v>0</v>
      </c>
      <c r="K28" s="154">
        <f>RENTABILIDAD[[#This Row],[IMPORTE FACTURADO INT]]-RENTABILIDAD[[#This Row],[IMPORTE EXPRESOS]]</f>
        <v>2997.88</v>
      </c>
    </row>
    <row r="29" spans="1:11" x14ac:dyDescent="0.2">
      <c r="A29" s="156">
        <v>110</v>
      </c>
      <c r="B29" s="157" t="s">
        <v>334</v>
      </c>
      <c r="C29" s="157" t="s">
        <v>332</v>
      </c>
      <c r="D29" s="157" t="s">
        <v>333</v>
      </c>
      <c r="E29" s="157" t="s">
        <v>335</v>
      </c>
      <c r="F29" s="157">
        <v>749.76</v>
      </c>
      <c r="G29" s="157"/>
      <c r="H29" s="157"/>
      <c r="I29" s="158">
        <v>22710.23</v>
      </c>
      <c r="J29" s="76">
        <f>INDEX(Tabla3[IMPORTE EXPRESO],MATCH(RENTABILIDAD[[#This Row],[ID VIAJE ]],Tabla3[ID VIAJE],))</f>
        <v>0</v>
      </c>
      <c r="K29" s="154">
        <f>RENTABILIDAD[[#This Row],[IMPORTE FACTURADO INT]]-RENTABILIDAD[[#This Row],[IMPORTE EXPRESOS]]</f>
        <v>22710.23</v>
      </c>
    </row>
    <row r="30" spans="1:11" x14ac:dyDescent="0.2">
      <c r="A30" s="156">
        <v>111</v>
      </c>
      <c r="B30" s="157" t="s">
        <v>130</v>
      </c>
      <c r="C30" s="157" t="s">
        <v>336</v>
      </c>
      <c r="D30" s="157" t="s">
        <v>337</v>
      </c>
      <c r="E30" s="157" t="s">
        <v>319</v>
      </c>
      <c r="F30" s="157">
        <v>381.68</v>
      </c>
      <c r="G30" s="157"/>
      <c r="H30" s="157"/>
      <c r="I30" s="158">
        <v>7797.72</v>
      </c>
      <c r="J30" s="76">
        <f>INDEX(Tabla3[IMPORTE EXPRESO],MATCH(RENTABILIDAD[[#This Row],[ID VIAJE ]],Tabla3[ID VIAJE],))</f>
        <v>0</v>
      </c>
      <c r="K30" s="154">
        <f>RENTABILIDAD[[#This Row],[IMPORTE FACTURADO INT]]-RENTABILIDAD[[#This Row],[IMPORTE EXPRESOS]]</f>
        <v>7797.72</v>
      </c>
    </row>
    <row r="31" spans="1:11" x14ac:dyDescent="0.2">
      <c r="A31" s="156">
        <v>112</v>
      </c>
      <c r="B31" s="157" t="s">
        <v>130</v>
      </c>
      <c r="C31" s="157" t="s">
        <v>338</v>
      </c>
      <c r="D31" s="157" t="s">
        <v>314</v>
      </c>
      <c r="E31" s="157" t="s">
        <v>319</v>
      </c>
      <c r="F31" s="157">
        <v>982.98</v>
      </c>
      <c r="G31" s="157"/>
      <c r="H31" s="157"/>
      <c r="I31" s="158">
        <v>20082.28</v>
      </c>
      <c r="J31" s="76">
        <f>INDEX(Tabla3[IMPORTE EXPRESO],MATCH(RENTABILIDAD[[#This Row],[ID VIAJE ]],Tabla3[ID VIAJE],))</f>
        <v>0</v>
      </c>
      <c r="K31" s="154">
        <f>RENTABILIDAD[[#This Row],[IMPORTE FACTURADO INT]]-RENTABILIDAD[[#This Row],[IMPORTE EXPRESOS]]</f>
        <v>20082.28</v>
      </c>
    </row>
    <row r="32" spans="1:11" x14ac:dyDescent="0.2">
      <c r="A32" s="156">
        <v>113</v>
      </c>
      <c r="B32" s="157" t="s">
        <v>160</v>
      </c>
      <c r="C32" s="157" t="s">
        <v>339</v>
      </c>
      <c r="D32" s="157" t="s">
        <v>340</v>
      </c>
      <c r="E32" s="157" t="s">
        <v>341</v>
      </c>
      <c r="F32" s="157">
        <v>951.86</v>
      </c>
      <c r="G32" s="157"/>
      <c r="H32" s="157"/>
      <c r="I32" s="158">
        <v>14887.09</v>
      </c>
      <c r="J32" s="76">
        <f>INDEX(Tabla3[IMPORTE EXPRESO],MATCH(RENTABILIDAD[[#This Row],[ID VIAJE ]],Tabla3[ID VIAJE],))</f>
        <v>0</v>
      </c>
      <c r="K32" s="154">
        <f>RENTABILIDAD[[#This Row],[IMPORTE FACTURADO INT]]-RENTABILIDAD[[#This Row],[IMPORTE EXPRESOS]]</f>
        <v>14887.09</v>
      </c>
    </row>
    <row r="33" spans="1:11" x14ac:dyDescent="0.2">
      <c r="A33" s="156">
        <v>115</v>
      </c>
      <c r="B33" s="157" t="s">
        <v>53</v>
      </c>
      <c r="C33" s="157" t="s">
        <v>343</v>
      </c>
      <c r="D33" s="157" t="s">
        <v>188</v>
      </c>
      <c r="E33" s="157" t="s">
        <v>344</v>
      </c>
      <c r="F33" s="157">
        <v>890.88</v>
      </c>
      <c r="G33" s="157"/>
      <c r="H33" s="157"/>
      <c r="I33" s="158">
        <v>16490.189999999999</v>
      </c>
      <c r="J33" s="76">
        <f>INDEX(Tabla3[IMPORTE EXPRESO],MATCH(RENTABILIDAD[[#This Row],[ID VIAJE ]],Tabla3[ID VIAJE],))</f>
        <v>0</v>
      </c>
      <c r="K33" s="154">
        <f>RENTABILIDAD[[#This Row],[IMPORTE FACTURADO INT]]-RENTABILIDAD[[#This Row],[IMPORTE EXPRESOS]]</f>
        <v>16490.189999999999</v>
      </c>
    </row>
    <row r="34" spans="1:11" x14ac:dyDescent="0.2">
      <c r="A34" s="156">
        <v>151</v>
      </c>
      <c r="B34" s="157" t="s">
        <v>421</v>
      </c>
      <c r="C34" s="157" t="s">
        <v>402</v>
      </c>
      <c r="D34" s="157" t="s">
        <v>403</v>
      </c>
      <c r="E34" s="157" t="s">
        <v>404</v>
      </c>
      <c r="F34" s="157">
        <v>385.85</v>
      </c>
      <c r="G34" s="157"/>
      <c r="H34" s="157"/>
      <c r="I34" s="158">
        <v>13489.32</v>
      </c>
      <c r="J34" s="76">
        <f>INDEX(Tabla3[IMPORTE EXPRESO],MATCH(RENTABILIDAD[[#This Row],[ID VIAJE ]],Tabla3[ID VIAJE],))</f>
        <v>0</v>
      </c>
      <c r="K34" s="154">
        <f>RENTABILIDAD[[#This Row],[IMPORTE FACTURADO INT]]-RENTABILIDAD[[#This Row],[IMPORTE EXPRESOS]]</f>
        <v>13489.32</v>
      </c>
    </row>
    <row r="35" spans="1:11" x14ac:dyDescent="0.2">
      <c r="A35" s="156">
        <v>152</v>
      </c>
      <c r="B35" s="157" t="s">
        <v>162</v>
      </c>
      <c r="C35" s="157" t="s">
        <v>405</v>
      </c>
      <c r="D35" s="157" t="s">
        <v>406</v>
      </c>
      <c r="E35" s="157" t="s">
        <v>407</v>
      </c>
      <c r="F35" s="157">
        <v>193.93</v>
      </c>
      <c r="G35" s="157"/>
      <c r="H35" s="157"/>
      <c r="I35" s="158">
        <v>5022.79</v>
      </c>
      <c r="J35" s="76">
        <f>INDEX(Tabla3[IMPORTE EXPRESO],MATCH(RENTABILIDAD[[#This Row],[ID VIAJE ]],Tabla3[ID VIAJE],))</f>
        <v>0</v>
      </c>
      <c r="K35" s="154">
        <f>RENTABILIDAD[[#This Row],[IMPORTE FACTURADO INT]]-RENTABILIDAD[[#This Row],[IMPORTE EXPRESOS]]</f>
        <v>5022.79</v>
      </c>
    </row>
    <row r="36" spans="1:11" x14ac:dyDescent="0.2">
      <c r="A36" s="156">
        <v>153</v>
      </c>
      <c r="B36" s="157" t="s">
        <v>210</v>
      </c>
      <c r="C36" s="157" t="s">
        <v>408</v>
      </c>
      <c r="D36" s="157" t="s">
        <v>409</v>
      </c>
      <c r="E36" s="157" t="s">
        <v>167</v>
      </c>
      <c r="F36" s="157">
        <v>387.86</v>
      </c>
      <c r="G36" s="157"/>
      <c r="H36" s="157"/>
      <c r="I36" s="158">
        <v>8083</v>
      </c>
      <c r="J36" s="76">
        <f>INDEX(Tabla3[IMPORTE EXPRESO],MATCH(RENTABILIDAD[[#This Row],[ID VIAJE ]],Tabla3[ID VIAJE],))</f>
        <v>0</v>
      </c>
      <c r="K36" s="154">
        <f>RENTABILIDAD[[#This Row],[IMPORTE FACTURADO INT]]-RENTABILIDAD[[#This Row],[IMPORTE EXPRESOS]]</f>
        <v>8083</v>
      </c>
    </row>
    <row r="37" spans="1:11" x14ac:dyDescent="0.2">
      <c r="A37" s="156">
        <v>154</v>
      </c>
      <c r="B37" s="157" t="s">
        <v>327</v>
      </c>
      <c r="C37" s="157" t="s">
        <v>410</v>
      </c>
      <c r="D37" s="157" t="s">
        <v>409</v>
      </c>
      <c r="E37" s="157" t="s">
        <v>328</v>
      </c>
      <c r="F37" s="157">
        <v>1156.81</v>
      </c>
      <c r="G37" s="157"/>
      <c r="H37" s="157"/>
      <c r="I37" s="158">
        <v>18011.53</v>
      </c>
      <c r="J37" s="76">
        <f>INDEX(Tabla3[IMPORTE EXPRESO],MATCH(RENTABILIDAD[[#This Row],[ID VIAJE ]],Tabla3[ID VIAJE],))</f>
        <v>0</v>
      </c>
      <c r="K37" s="154">
        <f>RENTABILIDAD[[#This Row],[IMPORTE FACTURADO INT]]-RENTABILIDAD[[#This Row],[IMPORTE EXPRESOS]]</f>
        <v>18011.53</v>
      </c>
    </row>
    <row r="38" spans="1:11" x14ac:dyDescent="0.2">
      <c r="A38" s="156">
        <v>155</v>
      </c>
      <c r="B38" s="157" t="s">
        <v>206</v>
      </c>
      <c r="C38" s="157" t="s">
        <v>411</v>
      </c>
      <c r="D38" s="157" t="s">
        <v>409</v>
      </c>
      <c r="E38" s="157" t="s">
        <v>412</v>
      </c>
      <c r="F38" s="157">
        <v>627.08000000000004</v>
      </c>
      <c r="G38" s="157"/>
      <c r="H38" s="157"/>
      <c r="I38" s="158">
        <v>13344.26</v>
      </c>
      <c r="J38" s="76">
        <f>INDEX(Tabla3[IMPORTE EXPRESO],MATCH(RENTABILIDAD[[#This Row],[ID VIAJE ]],Tabla3[ID VIAJE],))</f>
        <v>0</v>
      </c>
      <c r="K38" s="154">
        <f>RENTABILIDAD[[#This Row],[IMPORTE FACTURADO INT]]-RENTABILIDAD[[#This Row],[IMPORTE EXPRESOS]]</f>
        <v>13344.26</v>
      </c>
    </row>
    <row r="39" spans="1:11" x14ac:dyDescent="0.2">
      <c r="A39" s="156">
        <v>156</v>
      </c>
      <c r="B39" s="157" t="s">
        <v>206</v>
      </c>
      <c r="C39" s="157" t="s">
        <v>413</v>
      </c>
      <c r="D39" s="157" t="s">
        <v>414</v>
      </c>
      <c r="E39" s="157" t="s">
        <v>415</v>
      </c>
      <c r="F39" s="157">
        <v>1195.52</v>
      </c>
      <c r="G39" s="157"/>
      <c r="H39" s="157"/>
      <c r="I39" s="158">
        <v>18614.25</v>
      </c>
      <c r="J39" s="76">
        <f>INDEX(Tabla3[IMPORTE EXPRESO],MATCH(RENTABILIDAD[[#This Row],[ID VIAJE ]],Tabla3[ID VIAJE],))</f>
        <v>0</v>
      </c>
      <c r="K39" s="154">
        <f>RENTABILIDAD[[#This Row],[IMPORTE FACTURADO INT]]-RENTABILIDAD[[#This Row],[IMPORTE EXPRESOS]]</f>
        <v>18614.25</v>
      </c>
    </row>
    <row r="40" spans="1:11" x14ac:dyDescent="0.2">
      <c r="A40" s="156">
        <v>157</v>
      </c>
      <c r="B40" s="157" t="s">
        <v>417</v>
      </c>
      <c r="C40" s="157" t="s">
        <v>416</v>
      </c>
      <c r="D40" s="157" t="s">
        <v>194</v>
      </c>
      <c r="E40" s="157" t="s">
        <v>195</v>
      </c>
      <c r="F40" s="157">
        <v>902.4</v>
      </c>
      <c r="G40" s="157"/>
      <c r="H40" s="157"/>
      <c r="I40" s="158">
        <v>15584.45</v>
      </c>
      <c r="J40" s="76">
        <f>INDEX(Tabla3[IMPORTE EXPRESO],MATCH(RENTABILIDAD[[#This Row],[ID VIAJE ]],Tabla3[ID VIAJE],))</f>
        <v>0</v>
      </c>
      <c r="K40" s="154">
        <f>RENTABILIDAD[[#This Row],[IMPORTE FACTURADO INT]]-RENTABILIDAD[[#This Row],[IMPORTE EXPRESOS]]</f>
        <v>15584.45</v>
      </c>
    </row>
    <row r="41" spans="1:11" x14ac:dyDescent="0.2">
      <c r="A41" s="156">
        <v>158</v>
      </c>
      <c r="B41" s="157" t="s">
        <v>417</v>
      </c>
      <c r="C41" s="157" t="s">
        <v>418</v>
      </c>
      <c r="D41" s="157" t="s">
        <v>194</v>
      </c>
      <c r="E41" s="157" t="s">
        <v>195</v>
      </c>
      <c r="F41" s="157">
        <v>590.28</v>
      </c>
      <c r="G41" s="157"/>
      <c r="H41" s="157"/>
      <c r="I41" s="158">
        <v>10194.14</v>
      </c>
      <c r="J41" s="76">
        <f>INDEX(Tabla3[IMPORTE EXPRESO],MATCH(RENTABILIDAD[[#This Row],[ID VIAJE ]],Tabla3[ID VIAJE],))</f>
        <v>0</v>
      </c>
      <c r="K41" s="154">
        <f>RENTABILIDAD[[#This Row],[IMPORTE FACTURADO INT]]-RENTABILIDAD[[#This Row],[IMPORTE EXPRESOS]]</f>
        <v>10194.14</v>
      </c>
    </row>
    <row r="42" spans="1:11" x14ac:dyDescent="0.2">
      <c r="A42" s="156">
        <v>159</v>
      </c>
      <c r="B42" s="157" t="s">
        <v>327</v>
      </c>
      <c r="C42" s="157" t="s">
        <v>419</v>
      </c>
      <c r="D42" s="157" t="s">
        <v>420</v>
      </c>
      <c r="E42" s="157" t="s">
        <v>328</v>
      </c>
      <c r="F42" s="157">
        <v>3833.5</v>
      </c>
      <c r="G42" s="157"/>
      <c r="H42" s="157"/>
      <c r="I42" s="158">
        <v>59687.6</v>
      </c>
      <c r="J42" s="76">
        <f>INDEX(Tabla3[IMPORTE EXPRESO],MATCH(RENTABILIDAD[[#This Row],[ID VIAJE ]],Tabla3[ID VIAJE],))</f>
        <v>0</v>
      </c>
      <c r="K42" s="154">
        <f>RENTABILIDAD[[#This Row],[IMPORTE FACTURADO INT]]-RENTABILIDAD[[#This Row],[IMPORTE EXPRESOS]]</f>
        <v>59687.6</v>
      </c>
    </row>
    <row r="43" spans="1:11" x14ac:dyDescent="0.2">
      <c r="A43" s="156">
        <v>207</v>
      </c>
      <c r="B43" s="157" t="s">
        <v>373</v>
      </c>
      <c r="C43" s="157" t="s">
        <v>497</v>
      </c>
      <c r="D43" s="157" t="s">
        <v>498</v>
      </c>
      <c r="E43" s="157" t="s">
        <v>499</v>
      </c>
      <c r="F43" s="157">
        <v>1213.51</v>
      </c>
      <c r="G43" s="157"/>
      <c r="H43" s="157"/>
      <c r="I43" s="158">
        <v>30786.75</v>
      </c>
      <c r="J43" s="76">
        <f>INDEX(Tabla3[IMPORTE EXPRESO],MATCH(RENTABILIDAD[[#This Row],[ID VIAJE ]],Tabla3[ID VIAJE],))</f>
        <v>0</v>
      </c>
      <c r="K43" s="154">
        <f>RENTABILIDAD[[#This Row],[IMPORTE FACTURADO INT]]-RENTABILIDAD[[#This Row],[IMPORTE EXPRESOS]]</f>
        <v>30786.75</v>
      </c>
    </row>
    <row r="44" spans="1:11" x14ac:dyDescent="0.2">
      <c r="A44" s="156">
        <v>210</v>
      </c>
      <c r="B44" s="157" t="s">
        <v>373</v>
      </c>
      <c r="C44" s="157" t="s">
        <v>505</v>
      </c>
      <c r="D44" s="157" t="s">
        <v>506</v>
      </c>
      <c r="E44" s="157" t="s">
        <v>507</v>
      </c>
      <c r="F44" s="157">
        <v>902.4</v>
      </c>
      <c r="G44" s="157"/>
      <c r="H44" s="157"/>
      <c r="I44" s="158">
        <v>18598.46</v>
      </c>
      <c r="J44" s="76">
        <f>INDEX(Tabla3[IMPORTE EXPRESO],MATCH(RENTABILIDAD[[#This Row],[ID VIAJE ]],Tabla3[ID VIAJE],))</f>
        <v>0</v>
      </c>
      <c r="K44" s="154">
        <f>RENTABILIDAD[[#This Row],[IMPORTE FACTURADO INT]]-RENTABILIDAD[[#This Row],[IMPORTE EXPRESOS]]</f>
        <v>18598.46</v>
      </c>
    </row>
    <row r="45" spans="1:11" x14ac:dyDescent="0.2">
      <c r="A45" s="156">
        <v>212</v>
      </c>
      <c r="B45" s="157" t="s">
        <v>210</v>
      </c>
      <c r="C45" s="157" t="s">
        <v>509</v>
      </c>
      <c r="D45" s="157" t="s">
        <v>510</v>
      </c>
      <c r="E45" s="157" t="s">
        <v>511</v>
      </c>
      <c r="F45" s="157">
        <v>1189.7</v>
      </c>
      <c r="G45" s="157"/>
      <c r="H45" s="157"/>
      <c r="I45" s="158">
        <v>24674.38</v>
      </c>
      <c r="J45" s="76">
        <f>INDEX(Tabla3[IMPORTE EXPRESO],MATCH(RENTABILIDAD[[#This Row],[ID VIAJE ]],Tabla3[ID VIAJE],))</f>
        <v>0</v>
      </c>
      <c r="K45" s="154">
        <f>RENTABILIDAD[[#This Row],[IMPORTE FACTURADO INT]]-RENTABILIDAD[[#This Row],[IMPORTE EXPRESOS]]</f>
        <v>24674.38</v>
      </c>
    </row>
    <row r="46" spans="1:11" x14ac:dyDescent="0.2">
      <c r="A46" s="156">
        <v>213</v>
      </c>
      <c r="B46" s="157" t="s">
        <v>210</v>
      </c>
      <c r="C46" s="157" t="s">
        <v>512</v>
      </c>
      <c r="D46" s="157" t="s">
        <v>513</v>
      </c>
      <c r="E46" s="157" t="s">
        <v>514</v>
      </c>
      <c r="F46" s="157">
        <v>18.7</v>
      </c>
      <c r="G46" s="157"/>
      <c r="H46" s="157"/>
      <c r="I46" s="158">
        <v>1969.39</v>
      </c>
      <c r="J46" s="76">
        <f>INDEX(Tabla3[IMPORTE EXPRESO],MATCH(RENTABILIDAD[[#This Row],[ID VIAJE ]],Tabla3[ID VIAJE],))</f>
        <v>0</v>
      </c>
      <c r="K46" s="154">
        <f>RENTABILIDAD[[#This Row],[IMPORTE FACTURADO INT]]-RENTABILIDAD[[#This Row],[IMPORTE EXPRESOS]]</f>
        <v>1969.39</v>
      </c>
    </row>
    <row r="47" spans="1:11" x14ac:dyDescent="0.2">
      <c r="A47" s="156">
        <v>223</v>
      </c>
      <c r="B47" s="157" t="s">
        <v>373</v>
      </c>
      <c r="C47" s="157" t="s">
        <v>532</v>
      </c>
      <c r="D47" s="157" t="s">
        <v>533</v>
      </c>
      <c r="E47" s="157" t="s">
        <v>554</v>
      </c>
      <c r="F47" s="157">
        <v>1984.88</v>
      </c>
      <c r="G47" s="157"/>
      <c r="H47" s="157"/>
      <c r="I47" s="158">
        <v>43329.93</v>
      </c>
      <c r="J47" s="76">
        <f>INDEX(Tabla3[IMPORTE EXPRESO],MATCH(RENTABILIDAD[[#This Row],[ID VIAJE ]],Tabla3[ID VIAJE],))</f>
        <v>0</v>
      </c>
      <c r="K47" s="154">
        <f>RENTABILIDAD[[#This Row],[IMPORTE FACTURADO INT]]-RENTABILIDAD[[#This Row],[IMPORTE EXPRESOS]]</f>
        <v>43329.93</v>
      </c>
    </row>
    <row r="48" spans="1:11" x14ac:dyDescent="0.2">
      <c r="A48" s="156">
        <v>245</v>
      </c>
      <c r="B48" s="157" t="s">
        <v>119</v>
      </c>
      <c r="C48" s="157" t="s">
        <v>573</v>
      </c>
      <c r="D48" s="157" t="s">
        <v>409</v>
      </c>
      <c r="E48" s="157" t="s">
        <v>412</v>
      </c>
      <c r="F48" s="157">
        <v>393.96</v>
      </c>
      <c r="G48" s="157"/>
      <c r="H48" s="157"/>
      <c r="I48" s="158">
        <v>8383.4699999999993</v>
      </c>
      <c r="J48" s="76">
        <f>INDEX(Tabla3[IMPORTE EXPRESO],MATCH(RENTABILIDAD[[#This Row],[ID VIAJE ]],Tabla3[ID VIAJE],))</f>
        <v>0</v>
      </c>
      <c r="K48" s="154">
        <f>RENTABILIDAD[[#This Row],[IMPORTE FACTURADO INT]]-RENTABILIDAD[[#This Row],[IMPORTE EXPRESOS]]</f>
        <v>8383.4699999999993</v>
      </c>
    </row>
    <row r="49" spans="1:11" x14ac:dyDescent="0.2">
      <c r="A49" s="156">
        <v>224</v>
      </c>
      <c r="B49" s="157" t="s">
        <v>535</v>
      </c>
      <c r="C49" s="157" t="s">
        <v>534</v>
      </c>
      <c r="D49" s="157" t="s">
        <v>353</v>
      </c>
      <c r="E49" s="157" t="s">
        <v>536</v>
      </c>
      <c r="F49" s="157">
        <v>187.8</v>
      </c>
      <c r="G49" s="157"/>
      <c r="H49" s="157"/>
      <c r="I49" s="158">
        <v>4208.6000000000004</v>
      </c>
      <c r="J49" s="76">
        <f>INDEX(Tabla3[IMPORTE EXPRESO],MATCH(RENTABILIDAD[[#This Row],[ID VIAJE ]],Tabla3[ID VIAJE],))</f>
        <v>0</v>
      </c>
      <c r="K49" s="154">
        <f>RENTABILIDAD[[#This Row],[IMPORTE FACTURADO INT]]-RENTABILIDAD[[#This Row],[IMPORTE EXPRESOS]]</f>
        <v>4208.6000000000004</v>
      </c>
    </row>
    <row r="50" spans="1:11" x14ac:dyDescent="0.2">
      <c r="A50" s="156">
        <v>225</v>
      </c>
      <c r="B50" s="157" t="s">
        <v>538</v>
      </c>
      <c r="C50" s="157" t="s">
        <v>537</v>
      </c>
      <c r="D50" s="157" t="s">
        <v>340</v>
      </c>
      <c r="E50" s="157" t="s">
        <v>341</v>
      </c>
      <c r="F50" s="157">
        <v>450.24</v>
      </c>
      <c r="G50" s="157"/>
      <c r="H50" s="157"/>
      <c r="I50" s="158">
        <v>8775.18</v>
      </c>
      <c r="J50" s="76">
        <f>INDEX(Tabla3[IMPORTE EXPRESO],MATCH(RENTABILIDAD[[#This Row],[ID VIAJE ]],Tabla3[ID VIAJE],))</f>
        <v>0</v>
      </c>
      <c r="K50" s="154">
        <f>RENTABILIDAD[[#This Row],[IMPORTE FACTURADO INT]]-RENTABILIDAD[[#This Row],[IMPORTE EXPRESOS]]</f>
        <v>8775.18</v>
      </c>
    </row>
    <row r="51" spans="1:11" x14ac:dyDescent="0.2">
      <c r="A51" s="156">
        <v>226</v>
      </c>
      <c r="B51" s="157" t="s">
        <v>540</v>
      </c>
      <c r="C51" s="157" t="s">
        <v>539</v>
      </c>
      <c r="D51" s="157" t="s">
        <v>414</v>
      </c>
      <c r="E51" s="157" t="s">
        <v>415</v>
      </c>
      <c r="F51" s="157">
        <v>600.32000000000005</v>
      </c>
      <c r="G51" s="157"/>
      <c r="H51" s="157"/>
      <c r="I51" s="158">
        <v>9389</v>
      </c>
      <c r="J51" s="76">
        <f>INDEX(Tabla3[IMPORTE EXPRESO],MATCH(RENTABILIDAD[[#This Row],[ID VIAJE ]],Tabla3[ID VIAJE],))</f>
        <v>0</v>
      </c>
      <c r="K51" s="154">
        <f>RENTABILIDAD[[#This Row],[IMPORTE FACTURADO INT]]-RENTABILIDAD[[#This Row],[IMPORTE EXPRESOS]]</f>
        <v>9389</v>
      </c>
    </row>
    <row r="52" spans="1:11" x14ac:dyDescent="0.2">
      <c r="A52" s="156">
        <v>227</v>
      </c>
      <c r="B52" s="157" t="s">
        <v>417</v>
      </c>
      <c r="C52" s="157" t="s">
        <v>541</v>
      </c>
      <c r="D52" s="157" t="s">
        <v>194</v>
      </c>
      <c r="E52" s="157" t="s">
        <v>195</v>
      </c>
      <c r="F52" s="157">
        <v>900.48</v>
      </c>
      <c r="G52" s="157"/>
      <c r="H52" s="157"/>
      <c r="I52" s="158">
        <v>15551.29</v>
      </c>
      <c r="J52" s="76">
        <f>INDEX(Tabla3[IMPORTE EXPRESO],MATCH(RENTABILIDAD[[#This Row],[ID VIAJE ]],Tabla3[ID VIAJE],))</f>
        <v>0</v>
      </c>
      <c r="K52" s="154">
        <f>RENTABILIDAD[[#This Row],[IMPORTE FACTURADO INT]]-RENTABILIDAD[[#This Row],[IMPORTE EXPRESOS]]</f>
        <v>15551.29</v>
      </c>
    </row>
    <row r="53" spans="1:11" x14ac:dyDescent="0.2">
      <c r="A53" s="156">
        <v>228</v>
      </c>
      <c r="B53" s="157" t="s">
        <v>373</v>
      </c>
      <c r="C53" s="157" t="s">
        <v>542</v>
      </c>
      <c r="D53" s="157" t="s">
        <v>506</v>
      </c>
      <c r="E53" s="157" t="s">
        <v>507</v>
      </c>
      <c r="F53" s="157">
        <v>1800.96</v>
      </c>
      <c r="G53" s="157"/>
      <c r="H53" s="157"/>
      <c r="I53" s="158">
        <v>36757.589999999997</v>
      </c>
      <c r="J53" s="76">
        <f>INDEX(Tabla3[IMPORTE EXPRESO],MATCH(RENTABILIDAD[[#This Row],[ID VIAJE ]],Tabla3[ID VIAJE],))</f>
        <v>0</v>
      </c>
      <c r="K53" s="154">
        <f>RENTABILIDAD[[#This Row],[IMPORTE FACTURADO INT]]-RENTABILIDAD[[#This Row],[IMPORTE EXPRESOS]]</f>
        <v>36757.589999999997</v>
      </c>
    </row>
    <row r="54" spans="1:11" x14ac:dyDescent="0.2">
      <c r="A54" s="156">
        <v>229</v>
      </c>
      <c r="B54" s="157" t="s">
        <v>162</v>
      </c>
      <c r="C54" s="157" t="s">
        <v>543</v>
      </c>
      <c r="D54" s="157" t="s">
        <v>544</v>
      </c>
      <c r="E54" s="157" t="s">
        <v>545</v>
      </c>
      <c r="F54" s="157">
        <v>1091.7</v>
      </c>
      <c r="G54" s="157"/>
      <c r="H54" s="157"/>
      <c r="I54" s="158">
        <v>23930.06</v>
      </c>
      <c r="J54" s="76">
        <f>INDEX(Tabla3[IMPORTE EXPRESO],MATCH(RENTABILIDAD[[#This Row],[ID VIAJE ]],Tabla3[ID VIAJE],))</f>
        <v>0</v>
      </c>
      <c r="K54" s="154">
        <f>RENTABILIDAD[[#This Row],[IMPORTE FACTURADO INT]]-RENTABILIDAD[[#This Row],[IMPORTE EXPRESOS]]</f>
        <v>23930.06</v>
      </c>
    </row>
    <row r="55" spans="1:11" x14ac:dyDescent="0.2">
      <c r="A55" s="156">
        <v>230</v>
      </c>
      <c r="B55" s="157" t="s">
        <v>538</v>
      </c>
      <c r="C55" s="157" t="s">
        <v>546</v>
      </c>
      <c r="D55" s="157" t="s">
        <v>117</v>
      </c>
      <c r="E55" s="157" t="s">
        <v>216</v>
      </c>
      <c r="F55" s="157">
        <v>1125.5999999999999</v>
      </c>
      <c r="G55" s="157"/>
      <c r="H55" s="157"/>
      <c r="I55" s="158">
        <v>21836.639999999999</v>
      </c>
      <c r="J55" s="76">
        <f>INDEX(Tabla3[IMPORTE EXPRESO],MATCH(RENTABILIDAD[[#This Row],[ID VIAJE ]],Tabla3[ID VIAJE],))</f>
        <v>0</v>
      </c>
      <c r="K55" s="154">
        <f>RENTABILIDAD[[#This Row],[IMPORTE FACTURADO INT]]-RENTABILIDAD[[#This Row],[IMPORTE EXPRESOS]]</f>
        <v>21836.639999999999</v>
      </c>
    </row>
    <row r="56" spans="1:11" x14ac:dyDescent="0.2">
      <c r="A56" s="156">
        <v>231</v>
      </c>
      <c r="B56" s="157" t="s">
        <v>162</v>
      </c>
      <c r="C56" s="157" t="s">
        <v>547</v>
      </c>
      <c r="D56" s="157" t="s">
        <v>548</v>
      </c>
      <c r="E56" s="157" t="s">
        <v>549</v>
      </c>
      <c r="F56" s="157">
        <v>3608.9</v>
      </c>
      <c r="G56" s="157"/>
      <c r="H56" s="157"/>
      <c r="I56" s="158">
        <v>66475.94</v>
      </c>
      <c r="J56" s="76">
        <f>INDEX(Tabla3[IMPORTE EXPRESO],MATCH(RENTABILIDAD[[#This Row],[ID VIAJE ]],Tabla3[ID VIAJE],))</f>
        <v>0</v>
      </c>
      <c r="K56" s="154">
        <f>RENTABILIDAD[[#This Row],[IMPORTE FACTURADO INT]]-RENTABILIDAD[[#This Row],[IMPORTE EXPRESOS]]</f>
        <v>66475.94</v>
      </c>
    </row>
    <row r="57" spans="1:11" x14ac:dyDescent="0.2">
      <c r="A57" s="156">
        <v>232</v>
      </c>
      <c r="B57" s="157" t="s">
        <v>162</v>
      </c>
      <c r="C57" s="157" t="s">
        <v>550</v>
      </c>
      <c r="D57" s="157" t="s">
        <v>551</v>
      </c>
      <c r="E57" s="157" t="s">
        <v>307</v>
      </c>
      <c r="F57" s="157">
        <v>151</v>
      </c>
      <c r="G57" s="157"/>
      <c r="H57" s="157"/>
      <c r="I57" s="158">
        <v>2571.16</v>
      </c>
      <c r="J57" s="76">
        <f>INDEX(Tabla3[IMPORTE EXPRESO],MATCH(RENTABILIDAD[[#This Row],[ID VIAJE ]],Tabla3[ID VIAJE],))</f>
        <v>0</v>
      </c>
      <c r="K57" s="154">
        <f>RENTABILIDAD[[#This Row],[IMPORTE FACTURADO INT]]-RENTABILIDAD[[#This Row],[IMPORTE EXPRESOS]]</f>
        <v>2571.16</v>
      </c>
    </row>
    <row r="58" spans="1:11" x14ac:dyDescent="0.2">
      <c r="A58" s="156">
        <v>306</v>
      </c>
      <c r="B58" s="157" t="s">
        <v>624</v>
      </c>
      <c r="C58" s="157" t="s">
        <v>622</v>
      </c>
      <c r="D58" s="157" t="s">
        <v>623</v>
      </c>
      <c r="E58" s="157" t="s">
        <v>625</v>
      </c>
      <c r="F58" s="157">
        <v>890.88</v>
      </c>
      <c r="G58" s="157"/>
      <c r="H58" s="157"/>
      <c r="I58" s="158">
        <v>17363.25</v>
      </c>
      <c r="J58" s="76">
        <f>INDEX(Tabla3[IMPORTE EXPRESO],MATCH(RENTABILIDAD[[#This Row],[ID VIAJE ]],Tabla3[ID VIAJE],))</f>
        <v>0</v>
      </c>
      <c r="K58" s="154">
        <f>RENTABILIDAD[[#This Row],[IMPORTE FACTURADO INT]]-RENTABILIDAD[[#This Row],[IMPORTE EXPRESOS]]</f>
        <v>17363.25</v>
      </c>
    </row>
    <row r="59" spans="1:11" x14ac:dyDescent="0.2">
      <c r="A59" s="156">
        <v>299</v>
      </c>
      <c r="B59" s="157" t="s">
        <v>210</v>
      </c>
      <c r="C59" s="157" t="s">
        <v>611</v>
      </c>
      <c r="D59" s="157" t="s">
        <v>612</v>
      </c>
      <c r="E59" s="157" t="s">
        <v>613</v>
      </c>
      <c r="F59" s="157">
        <v>1855</v>
      </c>
      <c r="G59" s="157"/>
      <c r="H59" s="157"/>
      <c r="I59" s="158">
        <v>38472.699999999997</v>
      </c>
      <c r="J59" s="76">
        <f>INDEX(Tabla3[IMPORTE EXPRESO],MATCH(RENTABILIDAD[[#This Row],[ID VIAJE ]],Tabla3[ID VIAJE],))</f>
        <v>0</v>
      </c>
      <c r="K59" s="154">
        <f>RENTABILIDAD[[#This Row],[IMPORTE FACTURADO INT]]-RENTABILIDAD[[#This Row],[IMPORTE EXPRESOS]]</f>
        <v>38472.699999999997</v>
      </c>
    </row>
    <row r="60" spans="1:11" x14ac:dyDescent="0.2">
      <c r="A60" s="156">
        <v>300</v>
      </c>
      <c r="B60" s="157" t="s">
        <v>210</v>
      </c>
      <c r="C60" s="157" t="s">
        <v>614</v>
      </c>
      <c r="D60" s="157" t="s">
        <v>612</v>
      </c>
      <c r="E60" s="157" t="s">
        <v>549</v>
      </c>
      <c r="F60" s="157">
        <v>890.88</v>
      </c>
      <c r="G60" s="157"/>
      <c r="H60" s="157"/>
      <c r="I60" s="158">
        <v>16490.189999999999</v>
      </c>
      <c r="J60" s="76">
        <f>INDEX(Tabla3[IMPORTE EXPRESO],MATCH(RENTABILIDAD[[#This Row],[ID VIAJE ]],Tabla3[ID VIAJE],))</f>
        <v>0</v>
      </c>
      <c r="K60" s="154">
        <f>RENTABILIDAD[[#This Row],[IMPORTE FACTURADO INT]]-RENTABILIDAD[[#This Row],[IMPORTE EXPRESOS]]</f>
        <v>16490.189999999999</v>
      </c>
    </row>
    <row r="61" spans="1:11" x14ac:dyDescent="0.2">
      <c r="A61" s="156">
        <v>301</v>
      </c>
      <c r="B61" s="157" t="s">
        <v>210</v>
      </c>
      <c r="C61" s="157" t="s">
        <v>615</v>
      </c>
      <c r="D61" s="157" t="s">
        <v>616</v>
      </c>
      <c r="E61" s="157" t="s">
        <v>617</v>
      </c>
      <c r="F61" s="157">
        <v>3674.74</v>
      </c>
      <c r="G61" s="157"/>
      <c r="H61" s="157"/>
      <c r="I61" s="158">
        <v>76875.56</v>
      </c>
      <c r="J61" s="76">
        <f>INDEX(Tabla3[IMPORTE EXPRESO],MATCH(RENTABILIDAD[[#This Row],[ID VIAJE ]],Tabla3[ID VIAJE],))</f>
        <v>0</v>
      </c>
      <c r="K61" s="154">
        <f>RENTABILIDAD[[#This Row],[IMPORTE FACTURADO INT]]-RENTABILIDAD[[#This Row],[IMPORTE EXPRESOS]]</f>
        <v>76875.56</v>
      </c>
    </row>
    <row r="62" spans="1:11" x14ac:dyDescent="0.2">
      <c r="A62" s="156">
        <v>307</v>
      </c>
      <c r="B62" s="157" t="s">
        <v>173</v>
      </c>
      <c r="C62" s="157" t="s">
        <v>626</v>
      </c>
      <c r="D62" s="157" t="s">
        <v>137</v>
      </c>
      <c r="E62" s="157" t="s">
        <v>163</v>
      </c>
      <c r="F62" s="157">
        <v>1220.67</v>
      </c>
      <c r="G62" s="157"/>
      <c r="H62" s="157"/>
      <c r="I62" s="158">
        <v>18285.64</v>
      </c>
      <c r="J62" s="76">
        <f>INDEX(Tabla3[IMPORTE EXPRESO],MATCH(RENTABILIDAD[[#This Row],[ID VIAJE ]],Tabla3[ID VIAJE],))</f>
        <v>0</v>
      </c>
      <c r="K62" s="154">
        <f>RENTABILIDAD[[#This Row],[IMPORTE FACTURADO INT]]-RENTABILIDAD[[#This Row],[IMPORTE EXPRESOS]]</f>
        <v>18285.64</v>
      </c>
    </row>
    <row r="63" spans="1:11" x14ac:dyDescent="0.2">
      <c r="A63" s="156">
        <v>308</v>
      </c>
      <c r="B63" s="157" t="s">
        <v>417</v>
      </c>
      <c r="C63" s="157" t="s">
        <v>627</v>
      </c>
      <c r="D63" s="157" t="s">
        <v>194</v>
      </c>
      <c r="E63" s="157" t="s">
        <v>195</v>
      </c>
      <c r="F63" s="157">
        <v>198</v>
      </c>
      <c r="G63" s="157"/>
      <c r="H63" s="157"/>
      <c r="I63" s="158">
        <v>3419.46</v>
      </c>
      <c r="J63" s="76">
        <f>INDEX(Tabla3[IMPORTE EXPRESO],MATCH(RENTABILIDAD[[#This Row],[ID VIAJE ]],Tabla3[ID VIAJE],))</f>
        <v>0</v>
      </c>
      <c r="K63" s="154">
        <f>RENTABILIDAD[[#This Row],[IMPORTE FACTURADO INT]]-RENTABILIDAD[[#This Row],[IMPORTE EXPRESOS]]</f>
        <v>3419.46</v>
      </c>
    </row>
    <row r="64" spans="1:11" x14ac:dyDescent="0.2">
      <c r="A64" s="156">
        <v>319</v>
      </c>
      <c r="B64" s="157" t="s">
        <v>206</v>
      </c>
      <c r="C64" s="157" t="s">
        <v>642</v>
      </c>
      <c r="D64" s="157" t="s">
        <v>643</v>
      </c>
      <c r="E64" s="157" t="s">
        <v>644</v>
      </c>
      <c r="F64" s="157">
        <v>913.12</v>
      </c>
      <c r="G64" s="157"/>
      <c r="H64" s="157"/>
      <c r="I64" s="158">
        <v>15486.52</v>
      </c>
      <c r="J64" s="76">
        <f>INDEX(Tabla3[IMPORTE EXPRESO],MATCH(RENTABILIDAD[[#This Row],[ID VIAJE ]],Tabla3[ID VIAJE],))</f>
        <v>0</v>
      </c>
      <c r="K64" s="154">
        <f>RENTABILIDAD[[#This Row],[IMPORTE FACTURADO INT]]-RENTABILIDAD[[#This Row],[IMPORTE EXPRESOS]]</f>
        <v>15486.52</v>
      </c>
    </row>
    <row r="65" spans="1:11" x14ac:dyDescent="0.2">
      <c r="A65" s="156">
        <v>415</v>
      </c>
      <c r="B65" s="157" t="s">
        <v>535</v>
      </c>
      <c r="C65" s="157" t="s">
        <v>677</v>
      </c>
      <c r="D65" s="157" t="s">
        <v>353</v>
      </c>
      <c r="E65" s="157" t="s">
        <v>536</v>
      </c>
      <c r="F65" s="157">
        <v>93.4</v>
      </c>
      <c r="G65" s="157"/>
      <c r="H65" s="157"/>
      <c r="I65" s="158">
        <v>2385.11</v>
      </c>
      <c r="J65" s="76">
        <f>INDEX(Tabla3[IMPORTE EXPRESO],MATCH(RENTABILIDAD[[#This Row],[ID VIAJE ]],Tabla3[ID VIAJE],))</f>
        <v>0</v>
      </c>
      <c r="K65" s="154">
        <f>RENTABILIDAD[[#This Row],[IMPORTE FACTURADO INT]]-RENTABILIDAD[[#This Row],[IMPORTE EXPRESOS]]</f>
        <v>2385.11</v>
      </c>
    </row>
    <row r="66" spans="1:11" x14ac:dyDescent="0.2">
      <c r="A66" s="156">
        <v>416</v>
      </c>
      <c r="B66" s="157" t="s">
        <v>210</v>
      </c>
      <c r="C66" s="157" t="s">
        <v>678</v>
      </c>
      <c r="D66" s="157" t="s">
        <v>679</v>
      </c>
      <c r="E66" s="157" t="s">
        <v>680</v>
      </c>
      <c r="F66" s="157">
        <v>1244.3399999999999</v>
      </c>
      <c r="G66" s="157"/>
      <c r="H66" s="157"/>
      <c r="I66" s="158">
        <v>26031.59</v>
      </c>
      <c r="J66" s="76">
        <f>INDEX(Tabla3[IMPORTE EXPRESO],MATCH(RENTABILIDAD[[#This Row],[ID VIAJE ]],Tabla3[ID VIAJE],))</f>
        <v>0</v>
      </c>
      <c r="K66" s="154">
        <f>RENTABILIDAD[[#This Row],[IMPORTE FACTURADO INT]]-RENTABILIDAD[[#This Row],[IMPORTE EXPRESOS]]</f>
        <v>26031.59</v>
      </c>
    </row>
    <row r="67" spans="1:11" x14ac:dyDescent="0.2">
      <c r="A67" s="156">
        <v>417</v>
      </c>
      <c r="B67" s="157" t="s">
        <v>683</v>
      </c>
      <c r="C67" s="157" t="s">
        <v>681</v>
      </c>
      <c r="D67" s="157" t="s">
        <v>682</v>
      </c>
      <c r="E67" s="157" t="s">
        <v>684</v>
      </c>
      <c r="F67" s="157">
        <v>912</v>
      </c>
      <c r="G67" s="157"/>
      <c r="H67" s="157"/>
      <c r="I67" s="158">
        <v>18504.48</v>
      </c>
      <c r="J67" s="76">
        <f>INDEX(Tabla3[IMPORTE EXPRESO],MATCH(RENTABILIDAD[[#This Row],[ID VIAJE ]],Tabla3[ID VIAJE],))</f>
        <v>0</v>
      </c>
      <c r="K67" s="154">
        <f>RENTABILIDAD[[#This Row],[IMPORTE FACTURADO INT]]-RENTABILIDAD[[#This Row],[IMPORTE EXPRESOS]]</f>
        <v>18504.48</v>
      </c>
    </row>
    <row r="68" spans="1:11" x14ac:dyDescent="0.2">
      <c r="A68" s="156">
        <v>418</v>
      </c>
      <c r="B68" s="157" t="s">
        <v>162</v>
      </c>
      <c r="C68" s="157" t="s">
        <v>685</v>
      </c>
      <c r="D68" s="157" t="s">
        <v>686</v>
      </c>
      <c r="E68" s="157" t="s">
        <v>545</v>
      </c>
      <c r="F68" s="157">
        <v>383.35</v>
      </c>
      <c r="G68" s="157"/>
      <c r="H68" s="157"/>
      <c r="I68" s="158">
        <v>8441.3700000000008</v>
      </c>
      <c r="J68" s="76">
        <f>INDEX(Tabla3[IMPORTE EXPRESO],MATCH(RENTABILIDAD[[#This Row],[ID VIAJE ]],Tabla3[ID VIAJE],))</f>
        <v>0</v>
      </c>
      <c r="K68" s="154">
        <f>RENTABILIDAD[[#This Row],[IMPORTE FACTURADO INT]]-RENTABILIDAD[[#This Row],[IMPORTE EXPRESOS]]</f>
        <v>8441.3700000000008</v>
      </c>
    </row>
    <row r="69" spans="1:11" x14ac:dyDescent="0.2">
      <c r="A69" s="156">
        <v>419</v>
      </c>
      <c r="B69" s="157" t="s">
        <v>373</v>
      </c>
      <c r="C69" s="157" t="s">
        <v>687</v>
      </c>
      <c r="D69" s="157" t="s">
        <v>688</v>
      </c>
      <c r="E69" s="157" t="s">
        <v>176</v>
      </c>
      <c r="F69" s="157">
        <v>1804.8</v>
      </c>
      <c r="G69" s="157"/>
      <c r="H69" s="157"/>
      <c r="I69" s="158">
        <v>40337.279999999999</v>
      </c>
      <c r="J69" s="76">
        <f>INDEX(Tabla3[IMPORTE EXPRESO],MATCH(RENTABILIDAD[[#This Row],[ID VIAJE ]],Tabla3[ID VIAJE],))</f>
        <v>0</v>
      </c>
      <c r="K69" s="154">
        <f>RENTABILIDAD[[#This Row],[IMPORTE FACTURADO INT]]-RENTABILIDAD[[#This Row],[IMPORTE EXPRESOS]]</f>
        <v>40337.279999999999</v>
      </c>
    </row>
    <row r="70" spans="1:11" x14ac:dyDescent="0.2">
      <c r="A70" s="156">
        <v>420</v>
      </c>
      <c r="B70" s="157" t="s">
        <v>162</v>
      </c>
      <c r="C70" s="157" t="s">
        <v>689</v>
      </c>
      <c r="D70" s="157" t="s">
        <v>686</v>
      </c>
      <c r="E70" s="157" t="s">
        <v>545</v>
      </c>
      <c r="F70" s="157">
        <v>556.79999999999995</v>
      </c>
      <c r="G70" s="157"/>
      <c r="H70" s="157"/>
      <c r="I70" s="158">
        <v>12260.74</v>
      </c>
      <c r="J70" s="76">
        <f>INDEX(Tabla3[IMPORTE EXPRESO],MATCH(RENTABILIDAD[[#This Row],[ID VIAJE ]],Tabla3[ID VIAJE],))</f>
        <v>0</v>
      </c>
      <c r="K70" s="154">
        <f>RENTABILIDAD[[#This Row],[IMPORTE FACTURADO INT]]-RENTABILIDAD[[#This Row],[IMPORTE EXPRESOS]]</f>
        <v>12260.74</v>
      </c>
    </row>
    <row r="71" spans="1:11" x14ac:dyDescent="0.2">
      <c r="A71" s="156">
        <v>463</v>
      </c>
      <c r="B71" s="157" t="s">
        <v>206</v>
      </c>
      <c r="C71" s="157" t="s">
        <v>743</v>
      </c>
      <c r="D71" s="157" t="s">
        <v>643</v>
      </c>
      <c r="E71" s="157" t="s">
        <v>644</v>
      </c>
      <c r="F71" s="157">
        <v>51</v>
      </c>
      <c r="G71" s="157"/>
      <c r="H71" s="157"/>
      <c r="I71" s="158">
        <v>1804.63</v>
      </c>
      <c r="J71" s="76">
        <f>INDEX(Tabla3[IMPORTE EXPRESO],MATCH(RENTABILIDAD[[#This Row],[ID VIAJE ]],Tabla3[ID VIAJE],))</f>
        <v>0</v>
      </c>
      <c r="K71" s="154">
        <f>RENTABILIDAD[[#This Row],[IMPORTE FACTURADO INT]]-RENTABILIDAD[[#This Row],[IMPORTE EXPRESOS]]</f>
        <v>1804.63</v>
      </c>
    </row>
    <row r="72" spans="1:11" x14ac:dyDescent="0.2">
      <c r="A72" s="156">
        <v>464</v>
      </c>
      <c r="B72" s="157" t="s">
        <v>746</v>
      </c>
      <c r="C72" s="157" t="s">
        <v>744</v>
      </c>
      <c r="D72" s="157" t="s">
        <v>745</v>
      </c>
      <c r="E72" s="157" t="s">
        <v>747</v>
      </c>
      <c r="F72" s="157">
        <v>196.6</v>
      </c>
      <c r="G72" s="157"/>
      <c r="H72" s="157"/>
      <c r="I72" s="158">
        <v>4226.8999999999996</v>
      </c>
      <c r="J72" s="76">
        <f>INDEX(Tabla3[IMPORTE EXPRESO],MATCH(RENTABILIDAD[[#This Row],[ID VIAJE ]],Tabla3[ID VIAJE],))</f>
        <v>0</v>
      </c>
      <c r="K72" s="154">
        <f>RENTABILIDAD[[#This Row],[IMPORTE FACTURADO INT]]-RENTABILIDAD[[#This Row],[IMPORTE EXPRESOS]]</f>
        <v>4226.8999999999996</v>
      </c>
    </row>
    <row r="73" spans="1:11" x14ac:dyDescent="0.2">
      <c r="A73" s="156">
        <v>465</v>
      </c>
      <c r="B73" s="157" t="s">
        <v>210</v>
      </c>
      <c r="C73" s="157" t="s">
        <v>748</v>
      </c>
      <c r="D73" s="157" t="s">
        <v>749</v>
      </c>
      <c r="E73" s="157" t="s">
        <v>750</v>
      </c>
      <c r="F73" s="157">
        <v>190.2</v>
      </c>
      <c r="G73" s="157"/>
      <c r="H73" s="157"/>
      <c r="I73" s="158">
        <v>3998</v>
      </c>
      <c r="J73" s="76">
        <f>INDEX(Tabla3[IMPORTE EXPRESO],MATCH(RENTABILIDAD[[#This Row],[ID VIAJE ]],Tabla3[ID VIAJE],))</f>
        <v>0</v>
      </c>
      <c r="K73" s="154">
        <f>RENTABILIDAD[[#This Row],[IMPORTE FACTURADO INT]]-RENTABILIDAD[[#This Row],[IMPORTE EXPRESOS]]</f>
        <v>3998</v>
      </c>
    </row>
    <row r="74" spans="1:11" x14ac:dyDescent="0.2">
      <c r="A74" s="156">
        <v>466</v>
      </c>
      <c r="B74" s="157" t="s">
        <v>206</v>
      </c>
      <c r="C74" s="157" t="s">
        <v>751</v>
      </c>
      <c r="D74" s="157" t="s">
        <v>643</v>
      </c>
      <c r="E74" s="157" t="s">
        <v>644</v>
      </c>
      <c r="F74" s="157">
        <v>589.79</v>
      </c>
      <c r="G74" s="157"/>
      <c r="H74" s="157"/>
      <c r="I74" s="158">
        <v>10002.84</v>
      </c>
      <c r="J74" s="76">
        <f>INDEX(Tabla3[IMPORTE EXPRESO],MATCH(RENTABILIDAD[[#This Row],[ID VIAJE ]],Tabla3[ID VIAJE],))</f>
        <v>0</v>
      </c>
      <c r="K74" s="154">
        <f>RENTABILIDAD[[#This Row],[IMPORTE FACTURADO INT]]-RENTABILIDAD[[#This Row],[IMPORTE EXPRESOS]]</f>
        <v>10002.84</v>
      </c>
    </row>
    <row r="75" spans="1:11" x14ac:dyDescent="0.2">
      <c r="A75" s="156">
        <v>467</v>
      </c>
      <c r="B75" s="157" t="s">
        <v>210</v>
      </c>
      <c r="C75" s="157" t="s">
        <v>752</v>
      </c>
      <c r="D75" s="157" t="s">
        <v>735</v>
      </c>
      <c r="E75" s="157" t="s">
        <v>753</v>
      </c>
      <c r="F75" s="157">
        <v>2453.85</v>
      </c>
      <c r="G75" s="157"/>
      <c r="H75" s="157"/>
      <c r="I75" s="158">
        <v>50892.85</v>
      </c>
      <c r="J75" s="76">
        <f>INDEX(Tabla3[IMPORTE EXPRESO],MATCH(RENTABILIDAD[[#This Row],[ID VIAJE ]],Tabla3[ID VIAJE],))</f>
        <v>0</v>
      </c>
      <c r="K75" s="154">
        <f>RENTABILIDAD[[#This Row],[IMPORTE FACTURADO INT]]-RENTABILIDAD[[#This Row],[IMPORTE EXPRESOS]]</f>
        <v>50892.85</v>
      </c>
    </row>
    <row r="76" spans="1:11" x14ac:dyDescent="0.2">
      <c r="A76" s="156">
        <v>468</v>
      </c>
      <c r="B76" s="157" t="s">
        <v>417</v>
      </c>
      <c r="C76" s="157" t="s">
        <v>754</v>
      </c>
      <c r="D76" s="157" t="s">
        <v>735</v>
      </c>
      <c r="E76" s="157" t="s">
        <v>755</v>
      </c>
      <c r="F76" s="157">
        <v>4972.74</v>
      </c>
      <c r="G76" s="157"/>
      <c r="H76" s="157"/>
      <c r="I76" s="158">
        <v>72502.55</v>
      </c>
      <c r="J76" s="76">
        <f>INDEX(Tabla3[IMPORTE EXPRESO],MATCH(RENTABILIDAD[[#This Row],[ID VIAJE ]],Tabla3[ID VIAJE],))</f>
        <v>0</v>
      </c>
      <c r="K76" s="154">
        <f>RENTABILIDAD[[#This Row],[IMPORTE FACTURADO INT]]-RENTABILIDAD[[#This Row],[IMPORTE EXPRESOS]]</f>
        <v>72502.55</v>
      </c>
    </row>
    <row r="77" spans="1:11" x14ac:dyDescent="0.2">
      <c r="A77" s="156">
        <v>459</v>
      </c>
      <c r="B77" s="157" t="s">
        <v>540</v>
      </c>
      <c r="C77" s="157" t="s">
        <v>734</v>
      </c>
      <c r="D77" s="157" t="s">
        <v>735</v>
      </c>
      <c r="E77" s="157" t="s">
        <v>415</v>
      </c>
      <c r="F77" s="157">
        <v>2453.85</v>
      </c>
      <c r="G77" s="157"/>
      <c r="H77" s="157"/>
      <c r="I77" s="158">
        <v>38206.44</v>
      </c>
      <c r="J77" s="76">
        <f>INDEX(Tabla3[IMPORTE EXPRESO],MATCH(RENTABILIDAD[[#This Row],[ID VIAJE ]],Tabla3[ID VIAJE],))</f>
        <v>0</v>
      </c>
      <c r="K77" s="154">
        <f>RENTABILIDAD[[#This Row],[IMPORTE FACTURADO INT]]-RENTABILIDAD[[#This Row],[IMPORTE EXPRESOS]]</f>
        <v>38206.44</v>
      </c>
    </row>
    <row r="78" spans="1:11" x14ac:dyDescent="0.2">
      <c r="A78" s="156">
        <v>460</v>
      </c>
      <c r="B78" s="157" t="s">
        <v>173</v>
      </c>
      <c r="C78" s="157" t="s">
        <v>736</v>
      </c>
      <c r="D78" s="157" t="s">
        <v>735</v>
      </c>
      <c r="E78" s="157" t="s">
        <v>503</v>
      </c>
      <c r="F78" s="157">
        <v>1657.58</v>
      </c>
      <c r="G78" s="157"/>
      <c r="H78" s="157"/>
      <c r="I78" s="158">
        <v>24830.55</v>
      </c>
      <c r="J78" s="76">
        <f>INDEX(Tabla3[IMPORTE EXPRESO],MATCH(RENTABILIDAD[[#This Row],[ID VIAJE ]],Tabla3[ID VIAJE],))</f>
        <v>0</v>
      </c>
      <c r="K78" s="154">
        <f>RENTABILIDAD[[#This Row],[IMPORTE FACTURADO INT]]-RENTABILIDAD[[#This Row],[IMPORTE EXPRESOS]]</f>
        <v>24830.55</v>
      </c>
    </row>
    <row r="79" spans="1:11" x14ac:dyDescent="0.2">
      <c r="A79" s="156">
        <v>461</v>
      </c>
      <c r="B79" s="157" t="s">
        <v>538</v>
      </c>
      <c r="C79" s="157" t="s">
        <v>737</v>
      </c>
      <c r="D79" s="157" t="s">
        <v>738</v>
      </c>
      <c r="E79" s="157" t="s">
        <v>739</v>
      </c>
      <c r="F79" s="157">
        <v>2453.85</v>
      </c>
      <c r="G79" s="157"/>
      <c r="H79" s="157"/>
      <c r="I79" s="158">
        <v>47604.69</v>
      </c>
      <c r="J79" s="76">
        <f>INDEX(Tabla3[IMPORTE EXPRESO],MATCH(RENTABILIDAD[[#This Row],[ID VIAJE ]],Tabla3[ID VIAJE],))</f>
        <v>0</v>
      </c>
      <c r="K79" s="154">
        <f>RENTABILIDAD[[#This Row],[IMPORTE FACTURADO INT]]-RENTABILIDAD[[#This Row],[IMPORTE EXPRESOS]]</f>
        <v>47604.69</v>
      </c>
    </row>
    <row r="80" spans="1:11" x14ac:dyDescent="0.2">
      <c r="A80" s="156">
        <v>462</v>
      </c>
      <c r="B80" s="157" t="s">
        <v>742</v>
      </c>
      <c r="C80" s="157" t="s">
        <v>740</v>
      </c>
      <c r="D80" s="157" t="s">
        <v>175</v>
      </c>
      <c r="E80" s="157" t="s">
        <v>741</v>
      </c>
      <c r="F80" s="157">
        <v>900.48</v>
      </c>
      <c r="G80" s="157"/>
      <c r="H80" s="157"/>
      <c r="I80" s="158">
        <v>24835.24</v>
      </c>
      <c r="J80" s="76">
        <f>INDEX(Tabla3[IMPORTE EXPRESO],MATCH(RENTABILIDAD[[#This Row],[ID VIAJE ]],Tabla3[ID VIAJE],))</f>
        <v>0</v>
      </c>
      <c r="K80" s="154">
        <f>RENTABILIDAD[[#This Row],[IMPORTE FACTURADO INT]]-RENTABILIDAD[[#This Row],[IMPORTE EXPRESOS]]</f>
        <v>24835.24</v>
      </c>
    </row>
    <row r="81" spans="1:11" x14ac:dyDescent="0.2">
      <c r="A81" s="156">
        <v>469</v>
      </c>
      <c r="B81" s="157" t="s">
        <v>210</v>
      </c>
      <c r="C81" s="157" t="s">
        <v>756</v>
      </c>
      <c r="D81" s="157" t="s">
        <v>757</v>
      </c>
      <c r="E81" s="157" t="s">
        <v>511</v>
      </c>
      <c r="F81" s="157">
        <v>372.4</v>
      </c>
      <c r="G81" s="157"/>
      <c r="H81" s="157"/>
      <c r="I81" s="158">
        <v>7760.82</v>
      </c>
      <c r="J81" s="76">
        <f>INDEX(Tabla3[IMPORTE EXPRESO],MATCH(RENTABILIDAD[[#This Row],[ID VIAJE ]],Tabla3[ID VIAJE],))</f>
        <v>0</v>
      </c>
      <c r="K81" s="154">
        <f>RENTABILIDAD[[#This Row],[IMPORTE FACTURADO INT]]-RENTABILIDAD[[#This Row],[IMPORTE EXPRESOS]]</f>
        <v>7760.82</v>
      </c>
    </row>
    <row r="82" spans="1:11" x14ac:dyDescent="0.2">
      <c r="A82" s="156">
        <v>470</v>
      </c>
      <c r="B82" s="157" t="s">
        <v>210</v>
      </c>
      <c r="C82" s="157" t="s">
        <v>758</v>
      </c>
      <c r="D82" s="157" t="s">
        <v>757</v>
      </c>
      <c r="E82" s="157" t="s">
        <v>201</v>
      </c>
      <c r="F82" s="157">
        <v>902.4</v>
      </c>
      <c r="G82" s="157"/>
      <c r="H82" s="157"/>
      <c r="I82" s="158">
        <v>16703.419999999998</v>
      </c>
      <c r="J82" s="76">
        <f>INDEX(Tabla3[IMPORTE EXPRESO],MATCH(RENTABILIDAD[[#This Row],[ID VIAJE ]],Tabla3[ID VIAJE],))</f>
        <v>0</v>
      </c>
      <c r="K82" s="154">
        <f>RENTABILIDAD[[#This Row],[IMPORTE FACTURADO INT]]-RENTABILIDAD[[#This Row],[IMPORTE EXPRESOS]]</f>
        <v>16703.419999999998</v>
      </c>
    </row>
    <row r="83" spans="1:11" x14ac:dyDescent="0.2">
      <c r="A83" s="156">
        <v>471</v>
      </c>
      <c r="B83" s="157" t="s">
        <v>206</v>
      </c>
      <c r="C83" s="157" t="s">
        <v>759</v>
      </c>
      <c r="D83" s="157" t="s">
        <v>760</v>
      </c>
      <c r="E83" s="157" t="s">
        <v>761</v>
      </c>
      <c r="F83" s="157">
        <v>684.84</v>
      </c>
      <c r="G83" s="157"/>
      <c r="H83" s="157"/>
      <c r="I83" s="158">
        <v>10710.9</v>
      </c>
      <c r="J83" s="76">
        <f>INDEX(Tabla3[IMPORTE EXPRESO],MATCH(RENTABILIDAD[[#This Row],[ID VIAJE ]],Tabla3[ID VIAJE],))</f>
        <v>0</v>
      </c>
      <c r="K83" s="154">
        <f>RENTABILIDAD[[#This Row],[IMPORTE FACTURADO INT]]-RENTABILIDAD[[#This Row],[IMPORTE EXPRESOS]]</f>
        <v>10710.9</v>
      </c>
    </row>
    <row r="84" spans="1:11" x14ac:dyDescent="0.2">
      <c r="A84" s="156">
        <v>472</v>
      </c>
      <c r="B84" s="157" t="s">
        <v>535</v>
      </c>
      <c r="C84" s="157" t="s">
        <v>762</v>
      </c>
      <c r="D84" s="157" t="s">
        <v>763</v>
      </c>
      <c r="E84" s="157" t="s">
        <v>764</v>
      </c>
      <c r="F84" s="157">
        <v>451.2</v>
      </c>
      <c r="G84" s="157"/>
      <c r="H84" s="157"/>
      <c r="I84" s="158">
        <v>9218.02</v>
      </c>
      <c r="J84" s="76">
        <f>INDEX(Tabla3[IMPORTE EXPRESO],MATCH(RENTABILIDAD[[#This Row],[ID VIAJE ]],Tabla3[ID VIAJE],))</f>
        <v>0</v>
      </c>
      <c r="K84" s="154">
        <f>RENTABILIDAD[[#This Row],[IMPORTE FACTURADO INT]]-RENTABILIDAD[[#This Row],[IMPORTE EXPRESOS]]</f>
        <v>9218.02</v>
      </c>
    </row>
    <row r="85" spans="1:11" x14ac:dyDescent="0.2">
      <c r="A85" s="156">
        <v>233</v>
      </c>
      <c r="B85" s="157" t="s">
        <v>535</v>
      </c>
      <c r="C85" s="157" t="s">
        <v>552</v>
      </c>
      <c r="D85" s="157" t="s">
        <v>553</v>
      </c>
      <c r="E85" s="157" t="s">
        <v>219</v>
      </c>
      <c r="F85" s="157">
        <v>195.98</v>
      </c>
      <c r="G85" s="157"/>
      <c r="H85" s="157"/>
      <c r="I85" s="158">
        <v>4391.91</v>
      </c>
      <c r="J85" s="76">
        <f>INDEX(Tabla3[IMPORTE EXPRESO],MATCH(RENTABILIDAD[[#This Row],[ID VIAJE ]],Tabla3[ID VIAJE],))</f>
        <v>0</v>
      </c>
      <c r="K85" s="154">
        <f>RENTABILIDAD[[#This Row],[IMPORTE FACTURADO INT]]-RENTABILIDAD[[#This Row],[IMPORTE EXPRESOS]]</f>
        <v>4391.91</v>
      </c>
    </row>
    <row r="86" spans="1:11" hidden="1" x14ac:dyDescent="0.2">
      <c r="A86" s="156"/>
      <c r="B86" s="157"/>
      <c r="C86" s="157"/>
      <c r="D86" s="157"/>
      <c r="E86" s="157"/>
      <c r="F86" s="157"/>
      <c r="G86" s="157"/>
      <c r="H86" s="157"/>
      <c r="I86" s="158"/>
      <c r="J86" s="76" t="e">
        <f>INDEX(Tabla3[IMPORTE EXPRESO],MATCH(RENTABILIDAD[[#This Row],[ID VIAJE ]],Tabla3[ID VIAJE],))</f>
        <v>#N/A</v>
      </c>
      <c r="K86" s="154" t="e">
        <f>RENTABILIDAD[[#This Row],[IMPORTE FACTURADO INT]]-RENTABILIDAD[[#This Row],[IMPORTE EXPRESOS]]</f>
        <v>#N/A</v>
      </c>
    </row>
    <row r="87" spans="1:11" hidden="1" x14ac:dyDescent="0.2">
      <c r="A87" s="156"/>
      <c r="B87" s="157"/>
      <c r="C87" s="157"/>
      <c r="D87" s="157"/>
      <c r="E87" s="157"/>
      <c r="F87" s="157"/>
      <c r="G87" s="157"/>
      <c r="H87" s="157"/>
      <c r="I87" s="158"/>
      <c r="J87" s="76" t="e">
        <f>INDEX(Tabla3[IMPORTE EXPRESO],MATCH(RENTABILIDAD[[#This Row],[ID VIAJE ]],Tabla3[ID VIAJE],))</f>
        <v>#N/A</v>
      </c>
      <c r="K87" s="154" t="e">
        <f>RENTABILIDAD[[#This Row],[IMPORTE FACTURADO INT]]-RENTABILIDAD[[#This Row],[IMPORTE EXPRESOS]]</f>
        <v>#N/A</v>
      </c>
    </row>
    <row r="88" spans="1:11" hidden="1" x14ac:dyDescent="0.2">
      <c r="A88" s="156"/>
      <c r="B88" s="157"/>
      <c r="C88" s="157"/>
      <c r="D88" s="157"/>
      <c r="E88" s="157"/>
      <c r="F88" s="157"/>
      <c r="G88" s="157"/>
      <c r="H88" s="157"/>
      <c r="I88" s="158"/>
      <c r="J88" s="76" t="e">
        <f>INDEX(Tabla3[IMPORTE EXPRESO],MATCH(RENTABILIDAD[[#This Row],[ID VIAJE ]],Tabla3[ID VIAJE],))</f>
        <v>#N/A</v>
      </c>
      <c r="K88" s="154" t="e">
        <f>RENTABILIDAD[[#This Row],[IMPORTE FACTURADO INT]]-RENTABILIDAD[[#This Row],[IMPORTE EXPRESOS]]</f>
        <v>#N/A</v>
      </c>
    </row>
    <row r="89" spans="1:11" hidden="1" x14ac:dyDescent="0.2">
      <c r="A89" s="156"/>
      <c r="B89" s="157"/>
      <c r="C89" s="157"/>
      <c r="D89" s="157"/>
      <c r="E89" s="157"/>
      <c r="F89" s="157"/>
      <c r="G89" s="157"/>
      <c r="H89" s="157"/>
      <c r="I89" s="158"/>
      <c r="J89" s="76" t="e">
        <f>INDEX(Tabla3[IMPORTE EXPRESO],MATCH(RENTABILIDAD[[#This Row],[ID VIAJE ]],Tabla3[ID VIAJE],))</f>
        <v>#N/A</v>
      </c>
      <c r="K89" s="154" t="e">
        <f>RENTABILIDAD[[#This Row],[IMPORTE FACTURADO INT]]-RENTABILIDAD[[#This Row],[IMPORTE EXPRESOS]]</f>
        <v>#N/A</v>
      </c>
    </row>
    <row r="90" spans="1:11" hidden="1" x14ac:dyDescent="0.2">
      <c r="A90" s="156"/>
      <c r="B90" s="157"/>
      <c r="C90" s="157"/>
      <c r="D90" s="157"/>
      <c r="E90" s="157"/>
      <c r="F90" s="157"/>
      <c r="G90" s="157"/>
      <c r="H90" s="157"/>
      <c r="I90" s="158"/>
      <c r="J90" s="76" t="e">
        <f>INDEX(Tabla3[IMPORTE EXPRESO],MATCH(RENTABILIDAD[[#This Row],[ID VIAJE ]],Tabla3[ID VIAJE],))</f>
        <v>#N/A</v>
      </c>
      <c r="K90" s="154" t="e">
        <f>RENTABILIDAD[[#This Row],[IMPORTE FACTURADO INT]]-RENTABILIDAD[[#This Row],[IMPORTE EXPRESOS]]</f>
        <v>#N/A</v>
      </c>
    </row>
    <row r="91" spans="1:11" hidden="1" x14ac:dyDescent="0.2">
      <c r="A91" s="156"/>
      <c r="B91" s="157"/>
      <c r="C91" s="157"/>
      <c r="D91" s="157"/>
      <c r="E91" s="157"/>
      <c r="F91" s="157"/>
      <c r="G91" s="157"/>
      <c r="H91" s="157"/>
      <c r="I91" s="158"/>
      <c r="J91" s="76" t="e">
        <f>INDEX(Tabla3[IMPORTE EXPRESO],MATCH(RENTABILIDAD[[#This Row],[ID VIAJE ]],Tabla3[ID VIAJE],))</f>
        <v>#N/A</v>
      </c>
      <c r="K91" s="154" t="e">
        <f>RENTABILIDAD[[#This Row],[IMPORTE FACTURADO INT]]-RENTABILIDAD[[#This Row],[IMPORTE EXPRESOS]]</f>
        <v>#N/A</v>
      </c>
    </row>
    <row r="92" spans="1:11" hidden="1" x14ac:dyDescent="0.2">
      <c r="A92" s="156"/>
      <c r="B92" s="157"/>
      <c r="C92" s="157"/>
      <c r="D92" s="157"/>
      <c r="E92" s="157"/>
      <c r="F92" s="157"/>
      <c r="G92" s="157"/>
      <c r="H92" s="157"/>
      <c r="I92" s="158"/>
      <c r="J92" s="76" t="e">
        <f>INDEX(Tabla3[IMPORTE EXPRESO],MATCH(RENTABILIDAD[[#This Row],[ID VIAJE ]],Tabla3[ID VIAJE],))</f>
        <v>#N/A</v>
      </c>
      <c r="K92" s="154" t="e">
        <f>RENTABILIDAD[[#This Row],[IMPORTE FACTURADO INT]]-RENTABILIDAD[[#This Row],[IMPORTE EXPRESOS]]</f>
        <v>#N/A</v>
      </c>
    </row>
    <row r="93" spans="1:11" hidden="1" x14ac:dyDescent="0.2">
      <c r="A93" s="156"/>
      <c r="B93" s="157"/>
      <c r="C93" s="157"/>
      <c r="D93" s="157"/>
      <c r="E93" s="157"/>
      <c r="F93" s="157"/>
      <c r="G93" s="157"/>
      <c r="H93" s="157"/>
      <c r="I93" s="158"/>
      <c r="J93" s="76" t="e">
        <f>INDEX(Tabla3[IMPORTE EXPRESO],MATCH(RENTABILIDAD[[#This Row],[ID VIAJE ]],Tabla3[ID VIAJE],))</f>
        <v>#N/A</v>
      </c>
      <c r="K93" s="154" t="e">
        <f>RENTABILIDAD[[#This Row],[IMPORTE FACTURADO INT]]-RENTABILIDAD[[#This Row],[IMPORTE EXPRESOS]]</f>
        <v>#N/A</v>
      </c>
    </row>
    <row r="94" spans="1:11" hidden="1" x14ac:dyDescent="0.2">
      <c r="A94" s="156"/>
      <c r="B94" s="157"/>
      <c r="C94" s="157"/>
      <c r="D94" s="157"/>
      <c r="E94" s="157"/>
      <c r="F94" s="157"/>
      <c r="G94" s="157"/>
      <c r="H94" s="157"/>
      <c r="I94" s="158"/>
      <c r="J94" s="76" t="e">
        <f>INDEX(Tabla3[IMPORTE EXPRESO],MATCH(RENTABILIDAD[[#This Row],[ID VIAJE ]],Tabla3[ID VIAJE],))</f>
        <v>#N/A</v>
      </c>
      <c r="K94" s="154" t="e">
        <f>RENTABILIDAD[[#This Row],[IMPORTE FACTURADO INT]]-RENTABILIDAD[[#This Row],[IMPORTE EXPRESOS]]</f>
        <v>#N/A</v>
      </c>
    </row>
    <row r="95" spans="1:11" hidden="1" x14ac:dyDescent="0.2">
      <c r="A95" s="156"/>
      <c r="B95" s="157"/>
      <c r="C95" s="157"/>
      <c r="D95" s="157"/>
      <c r="E95" s="157"/>
      <c r="F95" s="157"/>
      <c r="G95" s="157"/>
      <c r="H95" s="157"/>
      <c r="I95" s="158"/>
      <c r="J95" s="76" t="e">
        <f>INDEX(Tabla3[IMPORTE EXPRESO],MATCH(RENTABILIDAD[[#This Row],[ID VIAJE ]],Tabla3[ID VIAJE],))</f>
        <v>#N/A</v>
      </c>
      <c r="K95" s="154" t="e">
        <f>RENTABILIDAD[[#This Row],[IMPORTE FACTURADO INT]]-RENTABILIDAD[[#This Row],[IMPORTE EXPRESOS]]</f>
        <v>#N/A</v>
      </c>
    </row>
    <row r="96" spans="1:11" hidden="1" x14ac:dyDescent="0.2">
      <c r="A96" s="156"/>
      <c r="B96" s="157"/>
      <c r="C96" s="157"/>
      <c r="D96" s="157"/>
      <c r="E96" s="157"/>
      <c r="F96" s="157"/>
      <c r="G96" s="157"/>
      <c r="H96" s="157"/>
      <c r="I96" s="158"/>
      <c r="J96" s="76" t="e">
        <f>INDEX(Tabla3[IMPORTE EXPRESO],MATCH(RENTABILIDAD[[#This Row],[ID VIAJE ]],Tabla3[ID VIAJE],))</f>
        <v>#N/A</v>
      </c>
      <c r="K96" s="154" t="e">
        <f>RENTABILIDAD[[#This Row],[IMPORTE FACTURADO INT]]-RENTABILIDAD[[#This Row],[IMPORTE EXPRESOS]]</f>
        <v>#N/A</v>
      </c>
    </row>
    <row r="97" spans="1:11" hidden="1" x14ac:dyDescent="0.2">
      <c r="A97" s="156"/>
      <c r="B97" s="157"/>
      <c r="C97" s="157"/>
      <c r="D97" s="157"/>
      <c r="E97" s="157"/>
      <c r="F97" s="157"/>
      <c r="G97" s="157"/>
      <c r="H97" s="157"/>
      <c r="I97" s="158"/>
      <c r="J97" s="76" t="e">
        <f>INDEX(Tabla3[IMPORTE EXPRESO],MATCH(RENTABILIDAD[[#This Row],[ID VIAJE ]],Tabla3[ID VIAJE],))</f>
        <v>#N/A</v>
      </c>
      <c r="K97" s="154" t="e">
        <f>RENTABILIDAD[[#This Row],[IMPORTE FACTURADO INT]]-RENTABILIDAD[[#This Row],[IMPORTE EXPRESOS]]</f>
        <v>#N/A</v>
      </c>
    </row>
    <row r="98" spans="1:11" hidden="1" x14ac:dyDescent="0.2">
      <c r="A98" s="156"/>
      <c r="B98" s="157"/>
      <c r="C98" s="157"/>
      <c r="D98" s="157"/>
      <c r="E98" s="157"/>
      <c r="F98" s="157"/>
      <c r="G98" s="157"/>
      <c r="H98" s="157"/>
      <c r="I98" s="158"/>
      <c r="J98" s="76" t="e">
        <f>INDEX(Tabla3[IMPORTE EXPRESO],MATCH(RENTABILIDAD[[#This Row],[ID VIAJE ]],Tabla3[ID VIAJE],))</f>
        <v>#N/A</v>
      </c>
      <c r="K98" s="154" t="e">
        <f>RENTABILIDAD[[#This Row],[IMPORTE FACTURADO INT]]-RENTABILIDAD[[#This Row],[IMPORTE EXPRESOS]]</f>
        <v>#N/A</v>
      </c>
    </row>
    <row r="99" spans="1:11" hidden="1" x14ac:dyDescent="0.2">
      <c r="A99" s="156"/>
      <c r="B99" s="157"/>
      <c r="C99" s="157"/>
      <c r="D99" s="157"/>
      <c r="E99" s="157"/>
      <c r="F99" s="157"/>
      <c r="G99" s="157"/>
      <c r="H99" s="157"/>
      <c r="I99" s="158"/>
      <c r="J99" s="76" t="e">
        <f>INDEX(Tabla3[IMPORTE EXPRESO],MATCH(RENTABILIDAD[[#This Row],[ID VIAJE ]],Tabla3[ID VIAJE],))</f>
        <v>#N/A</v>
      </c>
      <c r="K99" s="154" t="e">
        <f>RENTABILIDAD[[#This Row],[IMPORTE FACTURADO INT]]-RENTABILIDAD[[#This Row],[IMPORTE EXPRESOS]]</f>
        <v>#N/A</v>
      </c>
    </row>
    <row r="100" spans="1:11" hidden="1" x14ac:dyDescent="0.2">
      <c r="A100" s="156"/>
      <c r="B100" s="157"/>
      <c r="C100" s="157"/>
      <c r="D100" s="157"/>
      <c r="E100" s="157"/>
      <c r="F100" s="157"/>
      <c r="G100" s="157"/>
      <c r="H100" s="157"/>
      <c r="I100" s="158"/>
      <c r="J100" s="76" t="e">
        <f>INDEX(Tabla3[IMPORTE EXPRESO],MATCH(RENTABILIDAD[[#This Row],[ID VIAJE ]],Tabla3[ID VIAJE],))</f>
        <v>#N/A</v>
      </c>
      <c r="K100" s="154" t="e">
        <f>RENTABILIDAD[[#This Row],[IMPORTE FACTURADO INT]]-RENTABILIDAD[[#This Row],[IMPORTE EXPRESOS]]</f>
        <v>#N/A</v>
      </c>
    </row>
    <row r="101" spans="1:11" hidden="1" x14ac:dyDescent="0.2">
      <c r="A101" s="156"/>
      <c r="B101" s="157"/>
      <c r="C101" s="157"/>
      <c r="D101" s="157"/>
      <c r="E101" s="157"/>
      <c r="F101" s="157"/>
      <c r="G101" s="157"/>
      <c r="H101" s="157"/>
      <c r="I101" s="158"/>
      <c r="J101" s="76" t="e">
        <f>INDEX(Tabla3[IMPORTE EXPRESO],MATCH(RENTABILIDAD[[#This Row],[ID VIAJE ]],Tabla3[ID VIAJE],))</f>
        <v>#N/A</v>
      </c>
      <c r="K101" s="154" t="e">
        <f>RENTABILIDAD[[#This Row],[IMPORTE FACTURADO INT]]-RENTABILIDAD[[#This Row],[IMPORTE EXPRESOS]]</f>
        <v>#N/A</v>
      </c>
    </row>
    <row r="102" spans="1:11" hidden="1" x14ac:dyDescent="0.2">
      <c r="A102" s="156"/>
      <c r="B102" s="157"/>
      <c r="C102" s="157"/>
      <c r="D102" s="157"/>
      <c r="E102" s="157"/>
      <c r="F102" s="157"/>
      <c r="G102" s="157"/>
      <c r="H102" s="157"/>
      <c r="I102" s="158"/>
      <c r="J102" s="76" t="e">
        <f>INDEX(Tabla3[IMPORTE EXPRESO],MATCH(RENTABILIDAD[[#This Row],[ID VIAJE ]],Tabla3[ID VIAJE],))</f>
        <v>#N/A</v>
      </c>
      <c r="K102" s="154" t="e">
        <f>RENTABILIDAD[[#This Row],[IMPORTE FACTURADO INT]]-RENTABILIDAD[[#This Row],[IMPORTE EXPRESOS]]</f>
        <v>#N/A</v>
      </c>
    </row>
    <row r="103" spans="1:11" hidden="1" x14ac:dyDescent="0.2">
      <c r="A103" s="156"/>
      <c r="B103" s="157"/>
      <c r="C103" s="157"/>
      <c r="D103" s="157"/>
      <c r="E103" s="157"/>
      <c r="F103" s="157"/>
      <c r="G103" s="157"/>
      <c r="H103" s="157"/>
      <c r="I103" s="158"/>
      <c r="J103" s="76" t="e">
        <f>INDEX(Tabla3[IMPORTE EXPRESO],MATCH(RENTABILIDAD[[#This Row],[ID VIAJE ]],Tabla3[ID VIAJE],))</f>
        <v>#N/A</v>
      </c>
      <c r="K103" s="154" t="e">
        <f>RENTABILIDAD[[#This Row],[IMPORTE FACTURADO INT]]-RENTABILIDAD[[#This Row],[IMPORTE EXPRESOS]]</f>
        <v>#N/A</v>
      </c>
    </row>
    <row r="104" spans="1:11" hidden="1" x14ac:dyDescent="0.2">
      <c r="A104" s="156"/>
      <c r="B104" s="157"/>
      <c r="C104" s="157"/>
      <c r="D104" s="157"/>
      <c r="E104" s="157"/>
      <c r="F104" s="157"/>
      <c r="G104" s="157"/>
      <c r="H104" s="157"/>
      <c r="I104" s="158"/>
      <c r="J104" s="76" t="e">
        <f>INDEX(Tabla3[IMPORTE EXPRESO],MATCH(RENTABILIDAD[[#This Row],[ID VIAJE ]],Tabla3[ID VIAJE],))</f>
        <v>#N/A</v>
      </c>
      <c r="K104" s="154" t="e">
        <f>RENTABILIDAD[[#This Row],[IMPORTE FACTURADO INT]]-RENTABILIDAD[[#This Row],[IMPORTE EXPRESOS]]</f>
        <v>#N/A</v>
      </c>
    </row>
    <row r="105" spans="1:11" hidden="1" x14ac:dyDescent="0.2">
      <c r="A105" s="156"/>
      <c r="B105" s="157"/>
      <c r="C105" s="157"/>
      <c r="D105" s="157"/>
      <c r="E105" s="157"/>
      <c r="F105" s="157"/>
      <c r="G105" s="157"/>
      <c r="H105" s="157"/>
      <c r="I105" s="158"/>
      <c r="J105" s="76" t="e">
        <f>INDEX(Tabla3[IMPORTE EXPRESO],MATCH(RENTABILIDAD[[#This Row],[ID VIAJE ]],Tabla3[ID VIAJE],))</f>
        <v>#N/A</v>
      </c>
      <c r="K105" s="154" t="e">
        <f>RENTABILIDAD[[#This Row],[IMPORTE FACTURADO INT]]-RENTABILIDAD[[#This Row],[IMPORTE EXPRESOS]]</f>
        <v>#N/A</v>
      </c>
    </row>
    <row r="106" spans="1:11" hidden="1" x14ac:dyDescent="0.2">
      <c r="A106" s="156"/>
      <c r="B106" s="157"/>
      <c r="C106" s="157"/>
      <c r="D106" s="157"/>
      <c r="E106" s="157"/>
      <c r="F106" s="157"/>
      <c r="G106" s="157"/>
      <c r="H106" s="157"/>
      <c r="I106" s="158"/>
      <c r="J106" s="76" t="e">
        <f>INDEX(Tabla3[IMPORTE EXPRESO],MATCH(RENTABILIDAD[[#This Row],[ID VIAJE ]],Tabla3[ID VIAJE],))</f>
        <v>#N/A</v>
      </c>
      <c r="K106" s="154" t="e">
        <f>RENTABILIDAD[[#This Row],[IMPORTE FACTURADO INT]]-RENTABILIDAD[[#This Row],[IMPORTE EXPRESOS]]</f>
        <v>#N/A</v>
      </c>
    </row>
    <row r="107" spans="1:11" hidden="1" x14ac:dyDescent="0.2">
      <c r="A107" s="156"/>
      <c r="B107" s="157"/>
      <c r="C107" s="157"/>
      <c r="D107" s="157"/>
      <c r="E107" s="157"/>
      <c r="F107" s="157"/>
      <c r="G107" s="157"/>
      <c r="H107" s="157"/>
      <c r="I107" s="158"/>
      <c r="J107" s="76" t="e">
        <f>INDEX(Tabla3[IMPORTE EXPRESO],MATCH(RENTABILIDAD[[#This Row],[ID VIAJE ]],Tabla3[ID VIAJE],))</f>
        <v>#N/A</v>
      </c>
      <c r="K107" s="154" t="e">
        <f>RENTABILIDAD[[#This Row],[IMPORTE FACTURADO INT]]-RENTABILIDAD[[#This Row],[IMPORTE EXPRESOS]]</f>
        <v>#N/A</v>
      </c>
    </row>
    <row r="108" spans="1:11" hidden="1" x14ac:dyDescent="0.2">
      <c r="A108" s="156"/>
      <c r="B108" s="157"/>
      <c r="C108" s="157"/>
      <c r="D108" s="157"/>
      <c r="E108" s="157"/>
      <c r="F108" s="157"/>
      <c r="G108" s="157"/>
      <c r="H108" s="157"/>
      <c r="I108" s="158"/>
      <c r="J108" s="76" t="e">
        <f>INDEX(Tabla3[IMPORTE EXPRESO],MATCH(RENTABILIDAD[[#This Row],[ID VIAJE ]],Tabla3[ID VIAJE],))</f>
        <v>#N/A</v>
      </c>
      <c r="K108" s="154" t="e">
        <f>RENTABILIDAD[[#This Row],[IMPORTE FACTURADO INT]]-RENTABILIDAD[[#This Row],[IMPORTE EXPRESOS]]</f>
        <v>#N/A</v>
      </c>
    </row>
    <row r="109" spans="1:11" hidden="1" x14ac:dyDescent="0.2">
      <c r="A109" s="156"/>
      <c r="B109" s="157"/>
      <c r="C109" s="157"/>
      <c r="D109" s="157"/>
      <c r="E109" s="157"/>
      <c r="F109" s="157"/>
      <c r="G109" s="157"/>
      <c r="H109" s="157"/>
      <c r="I109" s="158"/>
      <c r="J109" s="76" t="e">
        <f>INDEX(Tabla3[IMPORTE EXPRESO],MATCH(RENTABILIDAD[[#This Row],[ID VIAJE ]],Tabla3[ID VIAJE],))</f>
        <v>#N/A</v>
      </c>
      <c r="K109" s="154" t="e">
        <f>RENTABILIDAD[[#This Row],[IMPORTE FACTURADO INT]]-RENTABILIDAD[[#This Row],[IMPORTE EXPRESOS]]</f>
        <v>#N/A</v>
      </c>
    </row>
    <row r="110" spans="1:11" hidden="1" x14ac:dyDescent="0.2">
      <c r="A110" s="156"/>
      <c r="B110" s="157"/>
      <c r="C110" s="157"/>
      <c r="D110" s="157"/>
      <c r="E110" s="157"/>
      <c r="F110" s="157"/>
      <c r="G110" s="157"/>
      <c r="H110" s="157"/>
      <c r="I110" s="158"/>
      <c r="J110" s="76" t="e">
        <f>INDEX(Tabla3[IMPORTE EXPRESO],MATCH(RENTABILIDAD[[#This Row],[ID VIAJE ]],Tabla3[ID VIAJE],))</f>
        <v>#N/A</v>
      </c>
      <c r="K110" s="154" t="e">
        <f>RENTABILIDAD[[#This Row],[IMPORTE FACTURADO INT]]-RENTABILIDAD[[#This Row],[IMPORTE EXPRESOS]]</f>
        <v>#N/A</v>
      </c>
    </row>
    <row r="111" spans="1:11" hidden="1" x14ac:dyDescent="0.2">
      <c r="A111" s="156"/>
      <c r="B111" s="157"/>
      <c r="C111" s="157"/>
      <c r="D111" s="157"/>
      <c r="E111" s="157"/>
      <c r="F111" s="157"/>
      <c r="G111" s="157"/>
      <c r="H111" s="157"/>
      <c r="I111" s="158"/>
      <c r="J111" s="76" t="e">
        <f>INDEX(Tabla3[IMPORTE EXPRESO],MATCH(RENTABILIDAD[[#This Row],[ID VIAJE ]],Tabla3[ID VIAJE],))</f>
        <v>#N/A</v>
      </c>
      <c r="K111" s="154" t="e">
        <f>RENTABILIDAD[[#This Row],[IMPORTE FACTURADO INT]]-RENTABILIDAD[[#This Row],[IMPORTE EXPRESOS]]</f>
        <v>#N/A</v>
      </c>
    </row>
    <row r="112" spans="1:11" hidden="1" x14ac:dyDescent="0.2">
      <c r="A112" s="156"/>
      <c r="B112" s="157"/>
      <c r="C112" s="157"/>
      <c r="D112" s="157"/>
      <c r="E112" s="157"/>
      <c r="F112" s="157"/>
      <c r="G112" s="157"/>
      <c r="H112" s="157"/>
      <c r="I112" s="158"/>
      <c r="J112" s="76" t="e">
        <f>INDEX(Tabla3[IMPORTE EXPRESO],MATCH(RENTABILIDAD[[#This Row],[ID VIAJE ]],Tabla3[ID VIAJE],))</f>
        <v>#N/A</v>
      </c>
      <c r="K112" s="154" t="e">
        <f>RENTABILIDAD[[#This Row],[IMPORTE FACTURADO INT]]-RENTABILIDAD[[#This Row],[IMPORTE EXPRESOS]]</f>
        <v>#N/A</v>
      </c>
    </row>
    <row r="113" spans="1:11" hidden="1" x14ac:dyDescent="0.2">
      <c r="A113" s="156"/>
      <c r="B113" s="157"/>
      <c r="C113" s="157"/>
      <c r="D113" s="157"/>
      <c r="E113" s="157"/>
      <c r="F113" s="157"/>
      <c r="G113" s="157"/>
      <c r="H113" s="157"/>
      <c r="I113" s="158"/>
      <c r="J113" s="76" t="e">
        <f>INDEX(Tabla3[IMPORTE EXPRESO],MATCH(RENTABILIDAD[[#This Row],[ID VIAJE ]],Tabla3[ID VIAJE],))</f>
        <v>#N/A</v>
      </c>
      <c r="K113" s="154" t="e">
        <f>RENTABILIDAD[[#This Row],[IMPORTE FACTURADO INT]]-RENTABILIDAD[[#This Row],[IMPORTE EXPRESOS]]</f>
        <v>#N/A</v>
      </c>
    </row>
    <row r="114" spans="1:11" hidden="1" x14ac:dyDescent="0.2">
      <c r="A114" s="156"/>
      <c r="B114" s="157"/>
      <c r="C114" s="157"/>
      <c r="D114" s="157"/>
      <c r="E114" s="157"/>
      <c r="F114" s="157"/>
      <c r="G114" s="157"/>
      <c r="H114" s="157"/>
      <c r="I114" s="158"/>
      <c r="J114" s="76" t="e">
        <f>INDEX(Tabla3[IMPORTE EXPRESO],MATCH(RENTABILIDAD[[#This Row],[ID VIAJE ]],Tabla3[ID VIAJE],))</f>
        <v>#N/A</v>
      </c>
      <c r="K114" s="154" t="e">
        <f>RENTABILIDAD[[#This Row],[IMPORTE FACTURADO INT]]-RENTABILIDAD[[#This Row],[IMPORTE EXPRESOS]]</f>
        <v>#N/A</v>
      </c>
    </row>
    <row r="115" spans="1:11" hidden="1" x14ac:dyDescent="0.2">
      <c r="A115" s="156"/>
      <c r="B115" s="157"/>
      <c r="C115" s="157"/>
      <c r="D115" s="157"/>
      <c r="E115" s="157"/>
      <c r="F115" s="157"/>
      <c r="G115" s="157"/>
      <c r="H115" s="157"/>
      <c r="I115" s="158"/>
      <c r="J115" s="76" t="e">
        <f>INDEX(Tabla3[IMPORTE EXPRESO],MATCH(RENTABILIDAD[[#This Row],[ID VIAJE ]],Tabla3[ID VIAJE],))</f>
        <v>#N/A</v>
      </c>
      <c r="K115" s="154" t="e">
        <f>RENTABILIDAD[[#This Row],[IMPORTE FACTURADO INT]]-RENTABILIDAD[[#This Row],[IMPORTE EXPRESOS]]</f>
        <v>#N/A</v>
      </c>
    </row>
    <row r="116" spans="1:11" hidden="1" x14ac:dyDescent="0.2">
      <c r="A116" s="156"/>
      <c r="B116" s="157"/>
      <c r="C116" s="157"/>
      <c r="D116" s="157"/>
      <c r="E116" s="157"/>
      <c r="F116" s="157"/>
      <c r="G116" s="157"/>
      <c r="H116" s="157"/>
      <c r="I116" s="158"/>
      <c r="J116" s="76" t="e">
        <f>INDEX(Tabla3[IMPORTE EXPRESO],MATCH(RENTABILIDAD[[#This Row],[ID VIAJE ]],Tabla3[ID VIAJE],))</f>
        <v>#N/A</v>
      </c>
      <c r="K116" s="154" t="e">
        <f>RENTABILIDAD[[#This Row],[IMPORTE FACTURADO INT]]-RENTABILIDAD[[#This Row],[IMPORTE EXPRESOS]]</f>
        <v>#N/A</v>
      </c>
    </row>
    <row r="117" spans="1:11" hidden="1" x14ac:dyDescent="0.2">
      <c r="A117" s="156"/>
      <c r="B117" s="157"/>
      <c r="C117" s="157"/>
      <c r="D117" s="157"/>
      <c r="E117" s="157"/>
      <c r="F117" s="157"/>
      <c r="G117" s="157"/>
      <c r="H117" s="157"/>
      <c r="I117" s="158"/>
      <c r="J117" s="76" t="e">
        <f>INDEX(Tabla3[IMPORTE EXPRESO],MATCH(RENTABILIDAD[[#This Row],[ID VIAJE ]],Tabla3[ID VIAJE],))</f>
        <v>#N/A</v>
      </c>
      <c r="K117" s="154" t="e">
        <f>RENTABILIDAD[[#This Row],[IMPORTE FACTURADO INT]]-RENTABILIDAD[[#This Row],[IMPORTE EXPRESOS]]</f>
        <v>#N/A</v>
      </c>
    </row>
    <row r="118" spans="1:11" hidden="1" x14ac:dyDescent="0.2">
      <c r="A118" s="156"/>
      <c r="B118" s="157"/>
      <c r="C118" s="157"/>
      <c r="D118" s="157"/>
      <c r="E118" s="157"/>
      <c r="F118" s="157"/>
      <c r="G118" s="157"/>
      <c r="H118" s="157"/>
      <c r="I118" s="158"/>
      <c r="J118" s="76" t="e">
        <f>INDEX(Tabla3[IMPORTE EXPRESO],MATCH(RENTABILIDAD[[#This Row],[ID VIAJE ]],Tabla3[ID VIAJE],))</f>
        <v>#N/A</v>
      </c>
      <c r="K118" s="154" t="e">
        <f>RENTABILIDAD[[#This Row],[IMPORTE FACTURADO INT]]-RENTABILIDAD[[#This Row],[IMPORTE EXPRESOS]]</f>
        <v>#N/A</v>
      </c>
    </row>
    <row r="119" spans="1:11" hidden="1" x14ac:dyDescent="0.2">
      <c r="A119" s="156"/>
      <c r="B119" s="157"/>
      <c r="C119" s="157"/>
      <c r="D119" s="157"/>
      <c r="E119" s="157"/>
      <c r="F119" s="157"/>
      <c r="G119" s="157"/>
      <c r="H119" s="157"/>
      <c r="I119" s="158"/>
      <c r="J119" s="76" t="e">
        <f>INDEX(Tabla3[IMPORTE EXPRESO],MATCH(RENTABILIDAD[[#This Row],[ID VIAJE ]],Tabla3[ID VIAJE],))</f>
        <v>#N/A</v>
      </c>
      <c r="K119" s="154" t="e">
        <f>RENTABILIDAD[[#This Row],[IMPORTE FACTURADO INT]]-RENTABILIDAD[[#This Row],[IMPORTE EXPRESOS]]</f>
        <v>#N/A</v>
      </c>
    </row>
    <row r="120" spans="1:11" hidden="1" x14ac:dyDescent="0.2">
      <c r="A120" s="156"/>
      <c r="B120" s="157"/>
      <c r="C120" s="157"/>
      <c r="D120" s="157"/>
      <c r="E120" s="157"/>
      <c r="F120" s="157"/>
      <c r="G120" s="157"/>
      <c r="H120" s="157"/>
      <c r="I120" s="158"/>
      <c r="J120" s="76" t="e">
        <f>INDEX(Tabla3[IMPORTE EXPRESO],MATCH(RENTABILIDAD[[#This Row],[ID VIAJE ]],Tabla3[ID VIAJE],))</f>
        <v>#N/A</v>
      </c>
      <c r="K120" s="154" t="e">
        <f>RENTABILIDAD[[#This Row],[IMPORTE FACTURADO INT]]-RENTABILIDAD[[#This Row],[IMPORTE EXPRESOS]]</f>
        <v>#N/A</v>
      </c>
    </row>
    <row r="121" spans="1:11" hidden="1" x14ac:dyDescent="0.2">
      <c r="A121" s="156"/>
      <c r="B121" s="157"/>
      <c r="C121" s="157"/>
      <c r="D121" s="157"/>
      <c r="E121" s="157"/>
      <c r="F121" s="157"/>
      <c r="G121" s="157"/>
      <c r="H121" s="157"/>
      <c r="I121" s="158"/>
      <c r="J121" s="76" t="e">
        <f>INDEX(Tabla3[IMPORTE EXPRESO],MATCH(RENTABILIDAD[[#This Row],[ID VIAJE ]],Tabla3[ID VIAJE],))</f>
        <v>#N/A</v>
      </c>
      <c r="K121" s="154" t="e">
        <f>RENTABILIDAD[[#This Row],[IMPORTE FACTURADO INT]]-RENTABILIDAD[[#This Row],[IMPORTE EXPRESOS]]</f>
        <v>#N/A</v>
      </c>
    </row>
    <row r="122" spans="1:11" hidden="1" x14ac:dyDescent="0.2">
      <c r="A122" s="156"/>
      <c r="B122" s="157"/>
      <c r="C122" s="157"/>
      <c r="D122" s="157"/>
      <c r="E122" s="157"/>
      <c r="F122" s="157"/>
      <c r="G122" s="157"/>
      <c r="H122" s="157"/>
      <c r="I122" s="158"/>
      <c r="J122" s="76" t="e">
        <f>INDEX(Tabla3[IMPORTE EXPRESO],MATCH(RENTABILIDAD[[#This Row],[ID VIAJE ]],Tabla3[ID VIAJE],))</f>
        <v>#N/A</v>
      </c>
      <c r="K122" s="154" t="e">
        <f>RENTABILIDAD[[#This Row],[IMPORTE FACTURADO INT]]-RENTABILIDAD[[#This Row],[IMPORTE EXPRESOS]]</f>
        <v>#N/A</v>
      </c>
    </row>
    <row r="123" spans="1:11" hidden="1" x14ac:dyDescent="0.2">
      <c r="A123" s="156"/>
      <c r="B123" s="157"/>
      <c r="C123" s="157"/>
      <c r="D123" s="157"/>
      <c r="E123" s="157"/>
      <c r="F123" s="157"/>
      <c r="G123" s="157"/>
      <c r="H123" s="157"/>
      <c r="I123" s="158"/>
      <c r="J123" s="76" t="e">
        <f>INDEX(Tabla3[IMPORTE EXPRESO],MATCH(RENTABILIDAD[[#This Row],[ID VIAJE ]],Tabla3[ID VIAJE],))</f>
        <v>#N/A</v>
      </c>
      <c r="K123" s="154" t="e">
        <f>RENTABILIDAD[[#This Row],[IMPORTE FACTURADO INT]]-RENTABILIDAD[[#This Row],[IMPORTE EXPRESOS]]</f>
        <v>#N/A</v>
      </c>
    </row>
    <row r="124" spans="1:11" hidden="1" x14ac:dyDescent="0.2">
      <c r="A124" s="156"/>
      <c r="B124" s="157"/>
      <c r="C124" s="157"/>
      <c r="D124" s="157"/>
      <c r="E124" s="157"/>
      <c r="F124" s="157"/>
      <c r="G124" s="157"/>
      <c r="H124" s="157"/>
      <c r="I124" s="158"/>
      <c r="J124" s="76" t="e">
        <f>INDEX(Tabla3[IMPORTE EXPRESO],MATCH(RENTABILIDAD[[#This Row],[ID VIAJE ]],Tabla3[ID VIAJE],))</f>
        <v>#N/A</v>
      </c>
      <c r="K124" s="154" t="e">
        <f>RENTABILIDAD[[#This Row],[IMPORTE FACTURADO INT]]-RENTABILIDAD[[#This Row],[IMPORTE EXPRESOS]]</f>
        <v>#N/A</v>
      </c>
    </row>
    <row r="125" spans="1:11" hidden="1" x14ac:dyDescent="0.2">
      <c r="A125" s="156"/>
      <c r="B125" s="157"/>
      <c r="C125" s="157"/>
      <c r="D125" s="157"/>
      <c r="E125" s="157"/>
      <c r="F125" s="157"/>
      <c r="G125" s="157"/>
      <c r="H125" s="157"/>
      <c r="I125" s="158"/>
      <c r="J125" s="76" t="e">
        <f>INDEX(Tabla3[IMPORTE EXPRESO],MATCH(RENTABILIDAD[[#This Row],[ID VIAJE ]],Tabla3[ID VIAJE],))</f>
        <v>#N/A</v>
      </c>
      <c r="K125" s="154" t="e">
        <f>RENTABILIDAD[[#This Row],[IMPORTE FACTURADO INT]]-RENTABILIDAD[[#This Row],[IMPORTE EXPRESOS]]</f>
        <v>#N/A</v>
      </c>
    </row>
    <row r="126" spans="1:11" hidden="1" x14ac:dyDescent="0.2">
      <c r="A126" s="156"/>
      <c r="B126" s="157"/>
      <c r="C126" s="157"/>
      <c r="D126" s="157"/>
      <c r="E126" s="157"/>
      <c r="F126" s="157"/>
      <c r="G126" s="157"/>
      <c r="H126" s="157"/>
      <c r="I126" s="158"/>
      <c r="J126" s="76" t="e">
        <f>INDEX(Tabla3[IMPORTE EXPRESO],MATCH(RENTABILIDAD[[#This Row],[ID VIAJE ]],Tabla3[ID VIAJE],))</f>
        <v>#N/A</v>
      </c>
      <c r="K126" s="154" t="e">
        <f>RENTABILIDAD[[#This Row],[IMPORTE FACTURADO INT]]-RENTABILIDAD[[#This Row],[IMPORTE EXPRESOS]]</f>
        <v>#N/A</v>
      </c>
    </row>
    <row r="127" spans="1:11" hidden="1" x14ac:dyDescent="0.2">
      <c r="A127" s="156"/>
      <c r="B127" s="157"/>
      <c r="C127" s="157"/>
      <c r="D127" s="157"/>
      <c r="E127" s="157"/>
      <c r="F127" s="157"/>
      <c r="G127" s="157"/>
      <c r="H127" s="157"/>
      <c r="I127" s="158"/>
      <c r="J127" s="76" t="e">
        <f>INDEX(Tabla3[IMPORTE EXPRESO],MATCH(RENTABILIDAD[[#This Row],[ID VIAJE ]],Tabla3[ID VIAJE],))</f>
        <v>#N/A</v>
      </c>
      <c r="K127" s="154" t="e">
        <f>RENTABILIDAD[[#This Row],[IMPORTE FACTURADO INT]]-RENTABILIDAD[[#This Row],[IMPORTE EXPRESOS]]</f>
        <v>#N/A</v>
      </c>
    </row>
    <row r="128" spans="1:11" hidden="1" x14ac:dyDescent="0.2">
      <c r="A128" s="156"/>
      <c r="B128" s="157"/>
      <c r="C128" s="157"/>
      <c r="D128" s="157"/>
      <c r="E128" s="157"/>
      <c r="F128" s="157"/>
      <c r="G128" s="157"/>
      <c r="H128" s="157"/>
      <c r="I128" s="158"/>
      <c r="J128" s="76" t="e">
        <f>INDEX(Tabla3[IMPORTE EXPRESO],MATCH(RENTABILIDAD[[#This Row],[ID VIAJE ]],Tabla3[ID VIAJE],))</f>
        <v>#N/A</v>
      </c>
      <c r="K128" s="154" t="e">
        <f>RENTABILIDAD[[#This Row],[IMPORTE FACTURADO INT]]-RENTABILIDAD[[#This Row],[IMPORTE EXPRESOS]]</f>
        <v>#N/A</v>
      </c>
    </row>
    <row r="129" spans="1:11" hidden="1" x14ac:dyDescent="0.2">
      <c r="A129" s="156"/>
      <c r="B129" s="157"/>
      <c r="C129" s="157"/>
      <c r="D129" s="157"/>
      <c r="E129" s="157"/>
      <c r="F129" s="157"/>
      <c r="G129" s="157"/>
      <c r="H129" s="157"/>
      <c r="I129" s="158"/>
      <c r="J129" s="76" t="e">
        <f>INDEX(Tabla3[IMPORTE EXPRESO],MATCH(RENTABILIDAD[[#This Row],[ID VIAJE ]],Tabla3[ID VIAJE],))</f>
        <v>#N/A</v>
      </c>
      <c r="K129" s="154" t="e">
        <f>RENTABILIDAD[[#This Row],[IMPORTE FACTURADO INT]]-RENTABILIDAD[[#This Row],[IMPORTE EXPRESOS]]</f>
        <v>#N/A</v>
      </c>
    </row>
    <row r="130" spans="1:11" hidden="1" x14ac:dyDescent="0.2">
      <c r="A130" s="156"/>
      <c r="B130" s="157"/>
      <c r="C130" s="157"/>
      <c r="D130" s="157"/>
      <c r="E130" s="157"/>
      <c r="F130" s="157"/>
      <c r="G130" s="157"/>
      <c r="H130" s="157"/>
      <c r="I130" s="158"/>
      <c r="J130" s="76" t="e">
        <f>INDEX(Tabla3[IMPORTE EXPRESO],MATCH(RENTABILIDAD[[#This Row],[ID VIAJE ]],Tabla3[ID VIAJE],))</f>
        <v>#N/A</v>
      </c>
      <c r="K130" s="154" t="e">
        <f>RENTABILIDAD[[#This Row],[IMPORTE FACTURADO INT]]-RENTABILIDAD[[#This Row],[IMPORTE EXPRESOS]]</f>
        <v>#N/A</v>
      </c>
    </row>
    <row r="131" spans="1:11" hidden="1" x14ac:dyDescent="0.2">
      <c r="A131" s="156"/>
      <c r="B131" s="157"/>
      <c r="C131" s="157"/>
      <c r="D131" s="157"/>
      <c r="E131" s="157"/>
      <c r="F131" s="157"/>
      <c r="G131" s="157"/>
      <c r="H131" s="157"/>
      <c r="I131" s="158"/>
      <c r="J131" s="76" t="e">
        <f>INDEX(Tabla3[IMPORTE EXPRESO],MATCH(RENTABILIDAD[[#This Row],[ID VIAJE ]],Tabla3[ID VIAJE],))</f>
        <v>#N/A</v>
      </c>
      <c r="K131" s="154" t="e">
        <f>RENTABILIDAD[[#This Row],[IMPORTE FACTURADO INT]]-RENTABILIDAD[[#This Row],[IMPORTE EXPRESOS]]</f>
        <v>#N/A</v>
      </c>
    </row>
    <row r="132" spans="1:11" hidden="1" x14ac:dyDescent="0.2">
      <c r="A132" s="156"/>
      <c r="B132" s="157"/>
      <c r="C132" s="157"/>
      <c r="D132" s="157"/>
      <c r="E132" s="157"/>
      <c r="F132" s="157"/>
      <c r="G132" s="157"/>
      <c r="H132" s="157"/>
      <c r="I132" s="158"/>
      <c r="J132" s="76" t="e">
        <f>INDEX(Tabla3[IMPORTE EXPRESO],MATCH(RENTABILIDAD[[#This Row],[ID VIAJE ]],Tabla3[ID VIAJE],))</f>
        <v>#N/A</v>
      </c>
      <c r="K132" s="154" t="e">
        <f>RENTABILIDAD[[#This Row],[IMPORTE FACTURADO INT]]-RENTABILIDAD[[#This Row],[IMPORTE EXPRESOS]]</f>
        <v>#N/A</v>
      </c>
    </row>
    <row r="133" spans="1:11" hidden="1" x14ac:dyDescent="0.2">
      <c r="A133" s="156"/>
      <c r="B133" s="157"/>
      <c r="C133" s="157"/>
      <c r="D133" s="157"/>
      <c r="E133" s="157"/>
      <c r="F133" s="157"/>
      <c r="G133" s="157"/>
      <c r="H133" s="157"/>
      <c r="I133" s="158"/>
      <c r="J133" s="76" t="e">
        <f>INDEX(Tabla3[IMPORTE EXPRESO],MATCH(RENTABILIDAD[[#This Row],[ID VIAJE ]],Tabla3[ID VIAJE],))</f>
        <v>#N/A</v>
      </c>
      <c r="K133" s="154" t="e">
        <f>RENTABILIDAD[[#This Row],[IMPORTE FACTURADO INT]]-RENTABILIDAD[[#This Row],[IMPORTE EXPRESOS]]</f>
        <v>#N/A</v>
      </c>
    </row>
    <row r="134" spans="1:11" hidden="1" x14ac:dyDescent="0.2">
      <c r="A134" s="156"/>
      <c r="B134" s="157"/>
      <c r="C134" s="157"/>
      <c r="D134" s="157"/>
      <c r="E134" s="157"/>
      <c r="F134" s="157"/>
      <c r="G134" s="157"/>
      <c r="H134" s="157"/>
      <c r="I134" s="158"/>
      <c r="J134" s="76"/>
      <c r="K134" s="154">
        <f>RENTABILIDAD[[#This Row],[IMPORTE FACTURADO INT]]-RENTABILIDAD[[#This Row],[IMPORTE EXPRESOS]]</f>
        <v>0</v>
      </c>
    </row>
    <row r="135" spans="1:11" hidden="1" x14ac:dyDescent="0.2">
      <c r="A135" s="156"/>
      <c r="B135" s="157"/>
      <c r="C135" s="157"/>
      <c r="D135" s="157"/>
      <c r="E135" s="157"/>
      <c r="F135" s="157"/>
      <c r="G135" s="157"/>
      <c r="H135" s="157"/>
      <c r="I135" s="158"/>
      <c r="J135" s="76"/>
      <c r="K135" s="154">
        <f>RENTABILIDAD[[#This Row],[IMPORTE FACTURADO INT]]-RENTABILIDAD[[#This Row],[IMPORTE EXPRESOS]]</f>
        <v>0</v>
      </c>
    </row>
    <row r="136" spans="1:11" hidden="1" x14ac:dyDescent="0.2">
      <c r="A136" s="156"/>
      <c r="B136" s="157"/>
      <c r="C136" s="157"/>
      <c r="D136" s="157"/>
      <c r="E136" s="157"/>
      <c r="F136" s="157"/>
      <c r="G136" s="157"/>
      <c r="H136" s="157"/>
      <c r="I136" s="158"/>
      <c r="J136" s="76"/>
      <c r="K136" s="154">
        <f>RENTABILIDAD[[#This Row],[IMPORTE FACTURADO INT]]-RENTABILIDAD[[#This Row],[IMPORTE EXPRESOS]]</f>
        <v>0</v>
      </c>
    </row>
    <row r="137" spans="1:11" hidden="1" x14ac:dyDescent="0.2">
      <c r="A137" s="156"/>
      <c r="B137" s="157"/>
      <c r="C137" s="157"/>
      <c r="D137" s="157"/>
      <c r="E137" s="157"/>
      <c r="F137" s="157"/>
      <c r="G137" s="157"/>
      <c r="H137" s="157"/>
      <c r="I137" s="158"/>
      <c r="J137" s="76"/>
      <c r="K137" s="154">
        <f>RENTABILIDAD[[#This Row],[IMPORTE FACTURADO INT]]-RENTABILIDAD[[#This Row],[IMPORTE EXPRESOS]]</f>
        <v>0</v>
      </c>
    </row>
    <row r="138" spans="1:11" hidden="1" x14ac:dyDescent="0.2">
      <c r="A138" s="156"/>
      <c r="B138" s="157"/>
      <c r="C138" s="157"/>
      <c r="D138" s="157"/>
      <c r="E138" s="157"/>
      <c r="F138" s="157"/>
      <c r="G138" s="157"/>
      <c r="H138" s="157"/>
      <c r="I138" s="158"/>
      <c r="J138" s="76"/>
      <c r="K138" s="154">
        <f>RENTABILIDAD[[#This Row],[IMPORTE FACTURADO INT]]-RENTABILIDAD[[#This Row],[IMPORTE EXPRESOS]]</f>
        <v>0</v>
      </c>
    </row>
    <row r="139" spans="1:11" hidden="1" x14ac:dyDescent="0.2">
      <c r="A139" s="156"/>
      <c r="B139" s="157"/>
      <c r="C139" s="157"/>
      <c r="D139" s="157"/>
      <c r="E139" s="157"/>
      <c r="F139" s="157"/>
      <c r="G139" s="157"/>
      <c r="H139" s="157"/>
      <c r="I139" s="158"/>
      <c r="J139" s="76"/>
      <c r="K139" s="154">
        <f>RENTABILIDAD[[#This Row],[IMPORTE FACTURADO INT]]-RENTABILIDAD[[#This Row],[IMPORTE EXPRESOS]]</f>
        <v>0</v>
      </c>
    </row>
    <row r="140" spans="1:11" hidden="1" x14ac:dyDescent="0.2">
      <c r="A140" s="156"/>
      <c r="B140" s="157"/>
      <c r="C140" s="157"/>
      <c r="D140" s="157"/>
      <c r="E140" s="157"/>
      <c r="F140" s="157"/>
      <c r="G140" s="157"/>
      <c r="H140" s="157"/>
      <c r="I140" s="158"/>
      <c r="J140" s="76"/>
      <c r="K140" s="154">
        <f>RENTABILIDAD[[#This Row],[IMPORTE FACTURADO INT]]-RENTABILIDAD[[#This Row],[IMPORTE EXPRESOS]]</f>
        <v>0</v>
      </c>
    </row>
    <row r="141" spans="1:11" hidden="1" x14ac:dyDescent="0.2">
      <c r="A141" s="156"/>
      <c r="B141" s="157"/>
      <c r="C141" s="157"/>
      <c r="D141" s="157"/>
      <c r="E141" s="157"/>
      <c r="F141" s="157"/>
      <c r="G141" s="157"/>
      <c r="H141" s="157"/>
      <c r="I141" s="158"/>
      <c r="J141" s="76"/>
      <c r="K141" s="154">
        <f>RENTABILIDAD[[#This Row],[IMPORTE FACTURADO INT]]-RENTABILIDAD[[#This Row],[IMPORTE EXPRESOS]]</f>
        <v>0</v>
      </c>
    </row>
    <row r="142" spans="1:11" hidden="1" x14ac:dyDescent="0.2">
      <c r="A142" s="156"/>
      <c r="B142" s="157"/>
      <c r="C142" s="157"/>
      <c r="D142" s="157"/>
      <c r="E142" s="157"/>
      <c r="F142" s="157"/>
      <c r="G142" s="157"/>
      <c r="H142" s="157"/>
      <c r="I142" s="158"/>
      <c r="J142" s="76"/>
      <c r="K142" s="154">
        <f>RENTABILIDAD[[#This Row],[IMPORTE FACTURADO INT]]-RENTABILIDAD[[#This Row],[IMPORTE EXPRESOS]]</f>
        <v>0</v>
      </c>
    </row>
    <row r="143" spans="1:11" hidden="1" x14ac:dyDescent="0.2">
      <c r="A143" s="156"/>
      <c r="B143" s="157"/>
      <c r="C143" s="157"/>
      <c r="D143" s="157"/>
      <c r="E143" s="157"/>
      <c r="F143" s="157"/>
      <c r="G143" s="157"/>
      <c r="H143" s="157"/>
      <c r="I143" s="158"/>
      <c r="J143" s="76"/>
      <c r="K143" s="154">
        <f>RENTABILIDAD[[#This Row],[IMPORTE FACTURADO INT]]-RENTABILIDAD[[#This Row],[IMPORTE EXPRESOS]]</f>
        <v>0</v>
      </c>
    </row>
    <row r="144" spans="1:11" hidden="1" x14ac:dyDescent="0.2">
      <c r="A144" s="156"/>
      <c r="B144" s="157"/>
      <c r="C144" s="157"/>
      <c r="D144" s="157"/>
      <c r="E144" s="157"/>
      <c r="F144" s="157"/>
      <c r="G144" s="157"/>
      <c r="H144" s="157"/>
      <c r="I144" s="158"/>
      <c r="J144" s="76"/>
      <c r="K144" s="154">
        <f>RENTABILIDAD[[#This Row],[IMPORTE FACTURADO INT]]-RENTABILIDAD[[#This Row],[IMPORTE EXPRESOS]]</f>
        <v>0</v>
      </c>
    </row>
    <row r="145" spans="1:11" hidden="1" x14ac:dyDescent="0.2">
      <c r="A145" s="156"/>
      <c r="B145" s="157"/>
      <c r="C145" s="157"/>
      <c r="D145" s="157"/>
      <c r="E145" s="157"/>
      <c r="F145" s="157"/>
      <c r="G145" s="157"/>
      <c r="H145" s="157"/>
      <c r="I145" s="158"/>
      <c r="J145" s="76"/>
      <c r="K145" s="154">
        <f>RENTABILIDAD[[#This Row],[IMPORTE FACTURADO INT]]-RENTABILIDAD[[#This Row],[IMPORTE EXPRESOS]]</f>
        <v>0</v>
      </c>
    </row>
    <row r="146" spans="1:11" hidden="1" x14ac:dyDescent="0.2">
      <c r="A146" s="156"/>
      <c r="B146" s="157"/>
      <c r="C146" s="157"/>
      <c r="D146" s="157"/>
      <c r="E146" s="157"/>
      <c r="F146" s="157"/>
      <c r="G146" s="157"/>
      <c r="H146" s="157"/>
      <c r="I146" s="158"/>
      <c r="J146" s="76"/>
      <c r="K146" s="154">
        <f>RENTABILIDAD[[#This Row],[IMPORTE FACTURADO INT]]-RENTABILIDAD[[#This Row],[IMPORTE EXPRESOS]]</f>
        <v>0</v>
      </c>
    </row>
    <row r="147" spans="1:11" hidden="1" x14ac:dyDescent="0.2">
      <c r="A147" s="156"/>
      <c r="B147" s="157"/>
      <c r="C147" s="157"/>
      <c r="D147" s="157"/>
      <c r="E147" s="157"/>
      <c r="F147" s="157"/>
      <c r="G147" s="157"/>
      <c r="H147" s="157"/>
      <c r="I147" s="158"/>
      <c r="J147" s="76"/>
      <c r="K147" s="154">
        <f>RENTABILIDAD[[#This Row],[IMPORTE FACTURADO INT]]-RENTABILIDAD[[#This Row],[IMPORTE EXPRESOS]]</f>
        <v>0</v>
      </c>
    </row>
    <row r="148" spans="1:11" hidden="1" x14ac:dyDescent="0.2">
      <c r="A148" s="156"/>
      <c r="B148" s="157"/>
      <c r="C148" s="157"/>
      <c r="D148" s="157"/>
      <c r="E148" s="157"/>
      <c r="F148" s="157"/>
      <c r="G148" s="157"/>
      <c r="H148" s="157"/>
      <c r="I148" s="158"/>
      <c r="J148" s="76"/>
      <c r="K148" s="154">
        <f>RENTABILIDAD[[#This Row],[IMPORTE FACTURADO INT]]-RENTABILIDAD[[#This Row],[IMPORTE EXPRESOS]]</f>
        <v>0</v>
      </c>
    </row>
    <row r="149" spans="1:11" hidden="1" x14ac:dyDescent="0.2">
      <c r="A149" s="156"/>
      <c r="B149" s="157"/>
      <c r="C149" s="157"/>
      <c r="D149" s="157"/>
      <c r="E149" s="157"/>
      <c r="F149" s="157"/>
      <c r="G149" s="157"/>
      <c r="H149" s="157"/>
      <c r="I149" s="158"/>
      <c r="J149" s="76"/>
      <c r="K149" s="154">
        <f>RENTABILIDAD[[#This Row],[IMPORTE FACTURADO INT]]-RENTABILIDAD[[#This Row],[IMPORTE EXPRESOS]]</f>
        <v>0</v>
      </c>
    </row>
    <row r="150" spans="1:11" hidden="1" x14ac:dyDescent="0.2">
      <c r="A150" s="156"/>
      <c r="B150" s="157"/>
      <c r="C150" s="157"/>
      <c r="D150" s="157"/>
      <c r="E150" s="157"/>
      <c r="F150" s="157"/>
      <c r="G150" s="157"/>
      <c r="H150" s="157"/>
      <c r="I150" s="158"/>
      <c r="J150" s="76"/>
      <c r="K150" s="154">
        <f>RENTABILIDAD[[#This Row],[IMPORTE FACTURADO INT]]-RENTABILIDAD[[#This Row],[IMPORTE EXPRESOS]]</f>
        <v>0</v>
      </c>
    </row>
    <row r="151" spans="1:11" hidden="1" x14ac:dyDescent="0.2">
      <c r="A151" s="156"/>
      <c r="B151" s="157"/>
      <c r="C151" s="157"/>
      <c r="D151" s="157"/>
      <c r="E151" s="157"/>
      <c r="F151" s="157"/>
      <c r="G151" s="157"/>
      <c r="H151" s="157"/>
      <c r="I151" s="158"/>
      <c r="J151" s="76"/>
      <c r="K151" s="154">
        <f>RENTABILIDAD[[#This Row],[IMPORTE FACTURADO INT]]-RENTABILIDAD[[#This Row],[IMPORTE EXPRESOS]]</f>
        <v>0</v>
      </c>
    </row>
    <row r="152" spans="1:11" hidden="1" x14ac:dyDescent="0.2">
      <c r="A152" s="156"/>
      <c r="B152" s="157"/>
      <c r="C152" s="157"/>
      <c r="D152" s="157"/>
      <c r="E152" s="157"/>
      <c r="F152" s="157"/>
      <c r="G152" s="157"/>
      <c r="H152" s="157"/>
      <c r="I152" s="158"/>
      <c r="J152" s="76"/>
      <c r="K152" s="154">
        <f>RENTABILIDAD[[#This Row],[IMPORTE FACTURADO INT]]-RENTABILIDAD[[#This Row],[IMPORTE EXPRESOS]]</f>
        <v>0</v>
      </c>
    </row>
    <row r="153" spans="1:11" hidden="1" x14ac:dyDescent="0.2">
      <c r="A153" s="156"/>
      <c r="B153" s="157"/>
      <c r="C153" s="157"/>
      <c r="D153" s="157"/>
      <c r="E153" s="157"/>
      <c r="F153" s="157"/>
      <c r="G153" s="157"/>
      <c r="H153" s="157"/>
      <c r="I153" s="158"/>
      <c r="J153" s="76"/>
      <c r="K153" s="154">
        <f>RENTABILIDAD[[#This Row],[IMPORTE FACTURADO INT]]-RENTABILIDAD[[#This Row],[IMPORTE EXPRESOS]]</f>
        <v>0</v>
      </c>
    </row>
    <row r="154" spans="1:11" hidden="1" x14ac:dyDescent="0.2">
      <c r="A154" s="156"/>
      <c r="B154" s="157"/>
      <c r="C154" s="157"/>
      <c r="D154" s="157"/>
      <c r="E154" s="157"/>
      <c r="F154" s="157"/>
      <c r="G154" s="157"/>
      <c r="H154" s="157"/>
      <c r="I154" s="158"/>
      <c r="J154" s="76"/>
      <c r="K154" s="154">
        <f>RENTABILIDAD[[#This Row],[IMPORTE FACTURADO INT]]-RENTABILIDAD[[#This Row],[IMPORTE EXPRESOS]]</f>
        <v>0</v>
      </c>
    </row>
    <row r="155" spans="1:11" hidden="1" x14ac:dyDescent="0.2">
      <c r="A155" s="156"/>
      <c r="B155" s="157"/>
      <c r="C155" s="157"/>
      <c r="D155" s="157"/>
      <c r="E155" s="157"/>
      <c r="F155" s="157"/>
      <c r="G155" s="157"/>
      <c r="H155" s="157"/>
      <c r="I155" s="158"/>
      <c r="J155" s="76"/>
      <c r="K155" s="154">
        <f>RENTABILIDAD[[#This Row],[IMPORTE FACTURADO INT]]-RENTABILIDAD[[#This Row],[IMPORTE EXPRESOS]]</f>
        <v>0</v>
      </c>
    </row>
    <row r="156" spans="1:11" hidden="1" x14ac:dyDescent="0.2">
      <c r="A156" s="156"/>
      <c r="B156" s="157"/>
      <c r="C156" s="157"/>
      <c r="D156" s="157"/>
      <c r="E156" s="157"/>
      <c r="F156" s="157"/>
      <c r="G156" s="157"/>
      <c r="H156" s="157"/>
      <c r="I156" s="158"/>
      <c r="J156" s="76"/>
      <c r="K156" s="154">
        <f>RENTABILIDAD[[#This Row],[IMPORTE FACTURADO INT]]-RENTABILIDAD[[#This Row],[IMPORTE EXPRESOS]]</f>
        <v>0</v>
      </c>
    </row>
    <row r="157" spans="1:11" hidden="1" x14ac:dyDescent="0.2">
      <c r="A157" s="156"/>
      <c r="B157" s="157"/>
      <c r="C157" s="157"/>
      <c r="D157" s="157"/>
      <c r="E157" s="157"/>
      <c r="F157" s="157"/>
      <c r="G157" s="157"/>
      <c r="H157" s="157"/>
      <c r="I157" s="158"/>
      <c r="J157" s="76"/>
      <c r="K157" s="154">
        <f>RENTABILIDAD[[#This Row],[IMPORTE FACTURADO INT]]-RENTABILIDAD[[#This Row],[IMPORTE EXPRESOS]]</f>
        <v>0</v>
      </c>
    </row>
    <row r="158" spans="1:11" hidden="1" x14ac:dyDescent="0.2">
      <c r="A158" s="156"/>
      <c r="B158" s="157"/>
      <c r="C158" s="157"/>
      <c r="D158" s="157"/>
      <c r="E158" s="157"/>
      <c r="F158" s="157"/>
      <c r="G158" s="157"/>
      <c r="H158" s="157"/>
      <c r="I158" s="158"/>
      <c r="J158" s="76"/>
      <c r="K158" s="154">
        <f>RENTABILIDAD[[#This Row],[IMPORTE FACTURADO INT]]-RENTABILIDAD[[#This Row],[IMPORTE EXPRESOS]]</f>
        <v>0</v>
      </c>
    </row>
    <row r="159" spans="1:11" hidden="1" x14ac:dyDescent="0.2">
      <c r="A159" s="156"/>
      <c r="B159" s="157"/>
      <c r="C159" s="157"/>
      <c r="D159" s="157"/>
      <c r="E159" s="157"/>
      <c r="F159" s="157"/>
      <c r="G159" s="157"/>
      <c r="H159" s="157"/>
      <c r="I159" s="158"/>
      <c r="J159" s="76"/>
      <c r="K159" s="154">
        <f>RENTABILIDAD[[#This Row],[IMPORTE FACTURADO INT]]-RENTABILIDAD[[#This Row],[IMPORTE EXPRESOS]]</f>
        <v>0</v>
      </c>
    </row>
    <row r="160" spans="1:11" hidden="1" x14ac:dyDescent="0.2">
      <c r="A160" s="156"/>
      <c r="B160" s="157"/>
      <c r="C160" s="157"/>
      <c r="D160" s="157"/>
      <c r="E160" s="157"/>
      <c r="F160" s="157"/>
      <c r="G160" s="157"/>
      <c r="H160" s="157"/>
      <c r="I160" s="158"/>
      <c r="J160" s="76"/>
      <c r="K160" s="154">
        <f>RENTABILIDAD[[#This Row],[IMPORTE FACTURADO INT]]-RENTABILIDAD[[#This Row],[IMPORTE EXPRESOS]]</f>
        <v>0</v>
      </c>
    </row>
    <row r="161" spans="1:11" hidden="1" x14ac:dyDescent="0.2">
      <c r="A161" s="156"/>
      <c r="B161" s="157"/>
      <c r="C161" s="157"/>
      <c r="D161" s="157"/>
      <c r="E161" s="157"/>
      <c r="F161" s="157"/>
      <c r="G161" s="157"/>
      <c r="H161" s="157"/>
      <c r="I161" s="158"/>
      <c r="J161" s="76"/>
      <c r="K161" s="154">
        <f>RENTABILIDAD[[#This Row],[IMPORTE FACTURADO INT]]-RENTABILIDAD[[#This Row],[IMPORTE EXPRESOS]]</f>
        <v>0</v>
      </c>
    </row>
    <row r="162" spans="1:11" hidden="1" x14ac:dyDescent="0.2">
      <c r="A162" s="156"/>
      <c r="B162" s="157"/>
      <c r="C162" s="157"/>
      <c r="D162" s="157"/>
      <c r="E162" s="157"/>
      <c r="F162" s="157"/>
      <c r="G162" s="157"/>
      <c r="H162" s="157"/>
      <c r="I162" s="158"/>
      <c r="J162" s="76"/>
      <c r="K162" s="154">
        <f>RENTABILIDAD[[#This Row],[IMPORTE FACTURADO INT]]-RENTABILIDAD[[#This Row],[IMPORTE EXPRESOS]]</f>
        <v>0</v>
      </c>
    </row>
    <row r="163" spans="1:11" hidden="1" x14ac:dyDescent="0.2">
      <c r="A163" s="156"/>
      <c r="B163" s="157"/>
      <c r="C163" s="157"/>
      <c r="D163" s="157"/>
      <c r="E163" s="157"/>
      <c r="F163" s="157"/>
      <c r="G163" s="157"/>
      <c r="H163" s="157"/>
      <c r="I163" s="158"/>
      <c r="J163" s="76"/>
      <c r="K163" s="154">
        <f>RENTABILIDAD[[#This Row],[IMPORTE FACTURADO INT]]-RENTABILIDAD[[#This Row],[IMPORTE EXPRESOS]]</f>
        <v>0</v>
      </c>
    </row>
    <row r="164" spans="1:11" hidden="1" x14ac:dyDescent="0.2">
      <c r="A164" s="156"/>
      <c r="B164" s="157"/>
      <c r="C164" s="157"/>
      <c r="D164" s="157"/>
      <c r="E164" s="157"/>
      <c r="F164" s="157"/>
      <c r="G164" s="157"/>
      <c r="H164" s="157"/>
      <c r="I164" s="158"/>
      <c r="J164" s="76"/>
      <c r="K164" s="154">
        <f>RENTABILIDAD[[#This Row],[IMPORTE FACTURADO INT]]-RENTABILIDAD[[#This Row],[IMPORTE EXPRESOS]]</f>
        <v>0</v>
      </c>
    </row>
    <row r="165" spans="1:11" hidden="1" x14ac:dyDescent="0.2">
      <c r="A165" s="156"/>
      <c r="B165" s="157"/>
      <c r="C165" s="157"/>
      <c r="D165" s="157"/>
      <c r="E165" s="157"/>
      <c r="F165" s="157"/>
      <c r="G165" s="157"/>
      <c r="H165" s="157"/>
      <c r="I165" s="158"/>
      <c r="J165" s="76"/>
      <c r="K165" s="154">
        <f>RENTABILIDAD[[#This Row],[IMPORTE FACTURADO INT]]-RENTABILIDAD[[#This Row],[IMPORTE EXPRESOS]]</f>
        <v>0</v>
      </c>
    </row>
    <row r="166" spans="1:11" hidden="1" x14ac:dyDescent="0.2">
      <c r="A166" s="156"/>
      <c r="B166" s="157"/>
      <c r="C166" s="157"/>
      <c r="D166" s="157"/>
      <c r="E166" s="157"/>
      <c r="F166" s="157"/>
      <c r="G166" s="157"/>
      <c r="H166" s="157"/>
      <c r="I166" s="158"/>
      <c r="J166" s="76"/>
      <c r="K166" s="154">
        <f>RENTABILIDAD[[#This Row],[IMPORTE FACTURADO INT]]-RENTABILIDAD[[#This Row],[IMPORTE EXPRESOS]]</f>
        <v>0</v>
      </c>
    </row>
    <row r="167" spans="1:11" hidden="1" x14ac:dyDescent="0.2">
      <c r="A167" s="156"/>
      <c r="B167" s="157"/>
      <c r="C167" s="157"/>
      <c r="D167" s="157"/>
      <c r="E167" s="157"/>
      <c r="F167" s="157"/>
      <c r="G167" s="157"/>
      <c r="H167" s="157"/>
      <c r="I167" s="158"/>
      <c r="J167" s="76"/>
      <c r="K167" s="154">
        <f>RENTABILIDAD[[#This Row],[IMPORTE FACTURADO INT]]-RENTABILIDAD[[#This Row],[IMPORTE EXPRESOS]]</f>
        <v>0</v>
      </c>
    </row>
    <row r="168" spans="1:11" hidden="1" x14ac:dyDescent="0.2">
      <c r="A168" s="156"/>
      <c r="B168" s="157"/>
      <c r="C168" s="157"/>
      <c r="D168" s="157"/>
      <c r="E168" s="157"/>
      <c r="F168" s="157"/>
      <c r="G168" s="157"/>
      <c r="H168" s="157"/>
      <c r="I168" s="158"/>
      <c r="J168" s="76"/>
      <c r="K168" s="154">
        <f>RENTABILIDAD[[#This Row],[IMPORTE FACTURADO INT]]-RENTABILIDAD[[#This Row],[IMPORTE EXPRESOS]]</f>
        <v>0</v>
      </c>
    </row>
    <row r="169" spans="1:11" hidden="1" x14ac:dyDescent="0.2">
      <c r="A169" s="156"/>
      <c r="B169" s="157"/>
      <c r="C169" s="157"/>
      <c r="D169" s="157"/>
      <c r="E169" s="157"/>
      <c r="F169" s="157"/>
      <c r="G169" s="157"/>
      <c r="H169" s="157"/>
      <c r="I169" s="158"/>
      <c r="J169" s="76"/>
      <c r="K169" s="154">
        <f>RENTABILIDAD[[#This Row],[IMPORTE FACTURADO INT]]-RENTABILIDAD[[#This Row],[IMPORTE EXPRESOS]]</f>
        <v>0</v>
      </c>
    </row>
    <row r="170" spans="1:11" hidden="1" x14ac:dyDescent="0.2">
      <c r="A170" s="156"/>
      <c r="B170" s="157"/>
      <c r="C170" s="157"/>
      <c r="D170" s="157"/>
      <c r="E170" s="157"/>
      <c r="F170" s="157"/>
      <c r="G170" s="157"/>
      <c r="H170" s="157"/>
      <c r="I170" s="158"/>
      <c r="J170" s="76"/>
      <c r="K170" s="154">
        <f>RENTABILIDAD[[#This Row],[IMPORTE FACTURADO INT]]-RENTABILIDAD[[#This Row],[IMPORTE EXPRESOS]]</f>
        <v>0</v>
      </c>
    </row>
    <row r="171" spans="1:11" hidden="1" x14ac:dyDescent="0.2">
      <c r="A171" s="156"/>
      <c r="B171" s="157"/>
      <c r="C171" s="157"/>
      <c r="D171" s="157"/>
      <c r="E171" s="157"/>
      <c r="F171" s="157"/>
      <c r="G171" s="157"/>
      <c r="H171" s="157"/>
      <c r="I171" s="158"/>
      <c r="J171" s="76"/>
      <c r="K171" s="154">
        <f>RENTABILIDAD[[#This Row],[IMPORTE FACTURADO INT]]-RENTABILIDAD[[#This Row],[IMPORTE EXPRESOS]]</f>
        <v>0</v>
      </c>
    </row>
    <row r="172" spans="1:11" hidden="1" x14ac:dyDescent="0.2">
      <c r="A172" s="156"/>
      <c r="B172" s="157"/>
      <c r="C172" s="157"/>
      <c r="D172" s="157"/>
      <c r="E172" s="157"/>
      <c r="F172" s="157"/>
      <c r="G172" s="157"/>
      <c r="H172" s="157"/>
      <c r="I172" s="158"/>
      <c r="J172" s="76"/>
      <c r="K172" s="154">
        <f>RENTABILIDAD[[#This Row],[IMPORTE FACTURADO INT]]-RENTABILIDAD[[#This Row],[IMPORTE EXPRESOS]]</f>
        <v>0</v>
      </c>
    </row>
    <row r="173" spans="1:11" hidden="1" x14ac:dyDescent="0.2">
      <c r="A173" s="156"/>
      <c r="B173" s="157"/>
      <c r="C173" s="157"/>
      <c r="D173" s="157"/>
      <c r="E173" s="157"/>
      <c r="F173" s="157"/>
      <c r="G173" s="157"/>
      <c r="H173" s="157"/>
      <c r="I173" s="158"/>
      <c r="J173" s="76"/>
      <c r="K173" s="154">
        <f>RENTABILIDAD[[#This Row],[IMPORTE FACTURADO INT]]-RENTABILIDAD[[#This Row],[IMPORTE EXPRESOS]]</f>
        <v>0</v>
      </c>
    </row>
    <row r="174" spans="1:11" hidden="1" x14ac:dyDescent="0.2">
      <c r="A174" s="156"/>
      <c r="B174" s="157"/>
      <c r="C174" s="157"/>
      <c r="D174" s="157"/>
      <c r="E174" s="157"/>
      <c r="F174" s="157"/>
      <c r="G174" s="157"/>
      <c r="H174" s="157"/>
      <c r="I174" s="158"/>
      <c r="J174" s="76"/>
      <c r="K174" s="154">
        <f>RENTABILIDAD[[#This Row],[IMPORTE FACTURADO INT]]-RENTABILIDAD[[#This Row],[IMPORTE EXPRESOS]]</f>
        <v>0</v>
      </c>
    </row>
    <row r="175" spans="1:11" hidden="1" x14ac:dyDescent="0.2">
      <c r="A175" s="156"/>
      <c r="B175" s="157"/>
      <c r="C175" s="157"/>
      <c r="D175" s="157"/>
      <c r="E175" s="157"/>
      <c r="F175" s="157"/>
      <c r="G175" s="157"/>
      <c r="H175" s="157"/>
      <c r="I175" s="158"/>
      <c r="J175" s="76" t="e">
        <f>INDEX(Tabla3[IMPORTE EXPRESO],MATCH(RENTABILIDAD[[#This Row],[ID VIAJE ]],Tabla3[ID VIAJE],0))</f>
        <v>#N/A</v>
      </c>
      <c r="K175" s="154" t="e">
        <f>RENTABILIDAD[[#This Row],[IMPORTE FACTURADO INT]]-RENTABILIDAD[[#This Row],[IMPORTE EXPRESOS]]</f>
        <v>#N/A</v>
      </c>
    </row>
    <row r="176" spans="1:11" hidden="1" x14ac:dyDescent="0.2">
      <c r="A176" s="156"/>
      <c r="B176" s="157"/>
      <c r="C176" s="157"/>
      <c r="D176" s="157"/>
      <c r="E176" s="157"/>
      <c r="F176" s="157"/>
      <c r="G176" s="157"/>
      <c r="H176" s="157"/>
      <c r="I176" s="158"/>
      <c r="J176" s="76" t="e">
        <f>INDEX(Tabla3[IMPORTE EXPRESO],MATCH(RENTABILIDAD[[#This Row],[ID VIAJE ]],Tabla3[ID VIAJE],0))</f>
        <v>#N/A</v>
      </c>
      <c r="K176" s="154" t="e">
        <f>RENTABILIDAD[[#This Row],[IMPORTE FACTURADO INT]]-RENTABILIDAD[[#This Row],[IMPORTE EXPRESOS]]</f>
        <v>#N/A</v>
      </c>
    </row>
    <row r="177" spans="1:11" hidden="1" x14ac:dyDescent="0.2">
      <c r="A177" s="156"/>
      <c r="B177" s="157"/>
      <c r="C177" s="157"/>
      <c r="D177" s="157"/>
      <c r="E177" s="157"/>
      <c r="F177" s="157"/>
      <c r="G177" s="157"/>
      <c r="H177" s="157"/>
      <c r="I177" s="158"/>
      <c r="J177" s="76" t="e">
        <f>INDEX(Tabla3[IMPORTE EXPRESO],MATCH(RENTABILIDAD[[#This Row],[ID VIAJE ]],Tabla3[ID VIAJE],0))</f>
        <v>#N/A</v>
      </c>
      <c r="K177" s="154" t="e">
        <f>RENTABILIDAD[[#This Row],[IMPORTE FACTURADO INT]]-RENTABILIDAD[[#This Row],[IMPORTE EXPRESOS]]</f>
        <v>#N/A</v>
      </c>
    </row>
    <row r="178" spans="1:11" hidden="1" x14ac:dyDescent="0.2">
      <c r="A178" s="156"/>
      <c r="B178" s="157"/>
      <c r="C178" s="157"/>
      <c r="D178" s="157"/>
      <c r="E178" s="157"/>
      <c r="F178" s="157"/>
      <c r="G178" s="157"/>
      <c r="H178" s="157"/>
      <c r="I178" s="158"/>
      <c r="J178" s="76" t="e">
        <f>INDEX(Tabla3[IMPORTE EXPRESO],MATCH(RENTABILIDAD[[#This Row],[ID VIAJE ]],Tabla3[ID VIAJE],0))</f>
        <v>#N/A</v>
      </c>
      <c r="K178" s="154" t="e">
        <f>RENTABILIDAD[[#This Row],[IMPORTE FACTURADO INT]]-RENTABILIDAD[[#This Row],[IMPORTE EXPRESOS]]</f>
        <v>#N/A</v>
      </c>
    </row>
    <row r="179" spans="1:11" hidden="1" x14ac:dyDescent="0.2">
      <c r="A179" s="156"/>
      <c r="B179" s="157"/>
      <c r="C179" s="157"/>
      <c r="D179" s="157"/>
      <c r="E179" s="157"/>
      <c r="F179" s="157"/>
      <c r="G179" s="157"/>
      <c r="H179" s="157"/>
      <c r="I179" s="158"/>
      <c r="J179" s="76" t="e">
        <f>INDEX(Tabla3[IMPORTE EXPRESO],MATCH(RENTABILIDAD[[#This Row],[ID VIAJE ]],Tabla3[ID VIAJE],0))</f>
        <v>#N/A</v>
      </c>
      <c r="K179" s="154" t="e">
        <f>RENTABILIDAD[[#This Row],[IMPORTE FACTURADO INT]]-RENTABILIDAD[[#This Row],[IMPORTE EXPRESOS]]</f>
        <v>#N/A</v>
      </c>
    </row>
    <row r="180" spans="1:11" hidden="1" x14ac:dyDescent="0.2">
      <c r="A180" s="156"/>
      <c r="B180" s="157"/>
      <c r="C180" s="157"/>
      <c r="D180" s="157"/>
      <c r="E180" s="157"/>
      <c r="F180" s="157"/>
      <c r="G180" s="157"/>
      <c r="H180" s="157"/>
      <c r="I180" s="158"/>
      <c r="J180" s="76" t="e">
        <f>INDEX(Tabla3[IMPORTE EXPRESO],MATCH(RENTABILIDAD[[#This Row],[ID VIAJE ]],Tabla3[ID VIAJE],0))</f>
        <v>#N/A</v>
      </c>
      <c r="K180" s="154" t="e">
        <f>RENTABILIDAD[[#This Row],[IMPORTE FACTURADO INT]]-RENTABILIDAD[[#This Row],[IMPORTE EXPRESOS]]</f>
        <v>#N/A</v>
      </c>
    </row>
    <row r="181" spans="1:11" hidden="1" x14ac:dyDescent="0.2">
      <c r="A181" s="156"/>
      <c r="B181" s="157"/>
      <c r="C181" s="157"/>
      <c r="D181" s="157"/>
      <c r="E181" s="157"/>
      <c r="F181" s="157"/>
      <c r="G181" s="157"/>
      <c r="H181" s="157"/>
      <c r="I181" s="158"/>
      <c r="J181" s="76" t="e">
        <f>INDEX(Tabla3[IMPORTE EXPRESO],MATCH(RENTABILIDAD[[#This Row],[ID VIAJE ]],Tabla3[ID VIAJE],0))</f>
        <v>#N/A</v>
      </c>
      <c r="K181" s="154" t="e">
        <f>RENTABILIDAD[[#This Row],[IMPORTE FACTURADO INT]]-RENTABILIDAD[[#This Row],[IMPORTE EXPRESOS]]</f>
        <v>#N/A</v>
      </c>
    </row>
    <row r="182" spans="1:11" hidden="1" x14ac:dyDescent="0.2">
      <c r="A182" s="156"/>
      <c r="B182" s="157"/>
      <c r="C182" s="157"/>
      <c r="D182" s="157"/>
      <c r="E182" s="157"/>
      <c r="F182" s="157"/>
      <c r="G182" s="157"/>
      <c r="H182" s="157"/>
      <c r="I182" s="158"/>
      <c r="J182" s="76" t="e">
        <f>INDEX(Tabla3[IMPORTE EXPRESO],MATCH(RENTABILIDAD[[#This Row],[ID VIAJE ]],Tabla3[ID VIAJE],0))</f>
        <v>#N/A</v>
      </c>
      <c r="K182" s="154" t="e">
        <f>RENTABILIDAD[[#This Row],[IMPORTE FACTURADO INT]]-RENTABILIDAD[[#This Row],[IMPORTE EXPRESOS]]</f>
        <v>#N/A</v>
      </c>
    </row>
    <row r="183" spans="1:11" hidden="1" x14ac:dyDescent="0.2">
      <c r="A183" s="156"/>
      <c r="B183" s="157"/>
      <c r="C183" s="157"/>
      <c r="D183" s="157"/>
      <c r="E183" s="157"/>
      <c r="F183" s="157"/>
      <c r="G183" s="157"/>
      <c r="H183" s="157"/>
      <c r="I183" s="158"/>
      <c r="J183" s="76" t="e">
        <f>INDEX(Tabla3[IMPORTE EXPRESO],MATCH(RENTABILIDAD[[#This Row],[ID VIAJE ]],Tabla3[ID VIAJE],0))</f>
        <v>#N/A</v>
      </c>
      <c r="K183" s="154" t="e">
        <f>RENTABILIDAD[[#This Row],[IMPORTE FACTURADO INT]]-RENTABILIDAD[[#This Row],[IMPORTE EXPRESOS]]</f>
        <v>#N/A</v>
      </c>
    </row>
    <row r="184" spans="1:11" hidden="1" x14ac:dyDescent="0.2">
      <c r="A184" s="156"/>
      <c r="B184" s="157"/>
      <c r="C184" s="157"/>
      <c r="D184" s="157"/>
      <c r="E184" s="157"/>
      <c r="F184" s="157"/>
      <c r="G184" s="157"/>
      <c r="H184" s="157"/>
      <c r="I184" s="158"/>
      <c r="J184" s="76" t="e">
        <f>INDEX(Tabla3[IMPORTE EXPRESO],MATCH(RENTABILIDAD[[#This Row],[ID VIAJE ]],Tabla3[ID VIAJE],0))</f>
        <v>#N/A</v>
      </c>
      <c r="K184" s="154" t="e">
        <f>RENTABILIDAD[[#This Row],[IMPORTE FACTURADO INT]]-RENTABILIDAD[[#This Row],[IMPORTE EXPRESOS]]</f>
        <v>#N/A</v>
      </c>
    </row>
    <row r="185" spans="1:11" hidden="1" x14ac:dyDescent="0.2">
      <c r="A185" s="156"/>
      <c r="B185" s="157"/>
      <c r="C185" s="157"/>
      <c r="D185" s="157"/>
      <c r="E185" s="157"/>
      <c r="F185" s="157"/>
      <c r="G185" s="157"/>
      <c r="H185" s="157"/>
      <c r="I185" s="158"/>
      <c r="J185" s="76" t="e">
        <f>INDEX(Tabla3[IMPORTE EXPRESO],MATCH(RENTABILIDAD[[#This Row],[ID VIAJE ]],Tabla3[ID VIAJE],0))</f>
        <v>#N/A</v>
      </c>
      <c r="K185" s="154" t="e">
        <f>RENTABILIDAD[[#This Row],[IMPORTE FACTURADO INT]]-RENTABILIDAD[[#This Row],[IMPORTE EXPRESOS]]</f>
        <v>#N/A</v>
      </c>
    </row>
    <row r="186" spans="1:11" hidden="1" x14ac:dyDescent="0.2">
      <c r="A186" s="156"/>
      <c r="B186" s="157"/>
      <c r="C186" s="157"/>
      <c r="D186" s="157"/>
      <c r="E186" s="157"/>
      <c r="F186" s="157"/>
      <c r="G186" s="157"/>
      <c r="H186" s="157"/>
      <c r="I186" s="158"/>
      <c r="J186" s="76" t="e">
        <f>INDEX(Tabla3[IMPORTE EXPRESO],MATCH(RENTABILIDAD[[#This Row],[ID VIAJE ]],Tabla3[ID VIAJE],0))</f>
        <v>#N/A</v>
      </c>
      <c r="K186" s="154" t="e">
        <f>RENTABILIDAD[[#This Row],[IMPORTE FACTURADO INT]]-RENTABILIDAD[[#This Row],[IMPORTE EXPRESOS]]</f>
        <v>#N/A</v>
      </c>
    </row>
    <row r="187" spans="1:11" hidden="1" x14ac:dyDescent="0.2">
      <c r="A187" s="156"/>
      <c r="B187" s="157"/>
      <c r="C187" s="157"/>
      <c r="D187" s="157"/>
      <c r="E187" s="157"/>
      <c r="F187" s="157"/>
      <c r="G187" s="157"/>
      <c r="H187" s="157"/>
      <c r="I187" s="158"/>
      <c r="J187" s="76" t="e">
        <f>INDEX(Tabla3[IMPORTE EXPRESO],MATCH(RENTABILIDAD[[#This Row],[ID VIAJE ]],Tabla3[ID VIAJE],0))</f>
        <v>#N/A</v>
      </c>
      <c r="K187" s="154" t="e">
        <f>RENTABILIDAD[[#This Row],[IMPORTE FACTURADO INT]]-RENTABILIDAD[[#This Row],[IMPORTE EXPRESOS]]</f>
        <v>#N/A</v>
      </c>
    </row>
    <row r="188" spans="1:11" hidden="1" x14ac:dyDescent="0.2">
      <c r="A188" s="156"/>
      <c r="B188" s="157"/>
      <c r="C188" s="157"/>
      <c r="D188" s="157"/>
      <c r="E188" s="157"/>
      <c r="F188" s="157"/>
      <c r="G188" s="157"/>
      <c r="H188" s="157"/>
      <c r="I188" s="158"/>
      <c r="J188" s="76" t="e">
        <f>INDEX(Tabla3[IMPORTE EXPRESO],MATCH(RENTABILIDAD[[#This Row],[ID VIAJE ]],Tabla3[ID VIAJE],0))</f>
        <v>#N/A</v>
      </c>
      <c r="K188" s="154" t="e">
        <f>RENTABILIDAD[[#This Row],[IMPORTE FACTURADO INT]]-RENTABILIDAD[[#This Row],[IMPORTE EXPRESOS]]</f>
        <v>#N/A</v>
      </c>
    </row>
    <row r="189" spans="1:11" hidden="1" x14ac:dyDescent="0.2">
      <c r="A189" s="156"/>
      <c r="B189" s="157"/>
      <c r="C189" s="157"/>
      <c r="D189" s="157"/>
      <c r="E189" s="157"/>
      <c r="F189" s="157"/>
      <c r="G189" s="157"/>
      <c r="H189" s="157"/>
      <c r="I189" s="158"/>
      <c r="J189" s="76" t="e">
        <f>INDEX(Tabla3[IMPORTE EXPRESO],MATCH(RENTABILIDAD[[#This Row],[ID VIAJE ]],Tabla3[ID VIAJE],0))</f>
        <v>#N/A</v>
      </c>
      <c r="K189" s="154" t="e">
        <f>RENTABILIDAD[[#This Row],[IMPORTE FACTURADO INT]]-RENTABILIDAD[[#This Row],[IMPORTE EXPRESOS]]</f>
        <v>#N/A</v>
      </c>
    </row>
    <row r="190" spans="1:11" hidden="1" x14ac:dyDescent="0.2">
      <c r="A190" s="156"/>
      <c r="B190" s="157"/>
      <c r="C190" s="157"/>
      <c r="D190" s="157"/>
      <c r="E190" s="157"/>
      <c r="F190" s="157"/>
      <c r="G190" s="157"/>
      <c r="H190" s="157"/>
      <c r="I190" s="158"/>
      <c r="J190" s="76" t="e">
        <f>INDEX(Tabla3[IMPORTE EXPRESO],MATCH(RENTABILIDAD[[#This Row],[ID VIAJE ]],Tabla3[ID VIAJE],0))</f>
        <v>#N/A</v>
      </c>
      <c r="K190" s="154" t="e">
        <f>RENTABILIDAD[[#This Row],[IMPORTE FACTURADO INT]]-RENTABILIDAD[[#This Row],[IMPORTE EXPRESOS]]</f>
        <v>#N/A</v>
      </c>
    </row>
    <row r="191" spans="1:11" hidden="1" x14ac:dyDescent="0.2">
      <c r="A191" s="156"/>
      <c r="B191" s="157"/>
      <c r="C191" s="157"/>
      <c r="D191" s="157"/>
      <c r="E191" s="157"/>
      <c r="F191" s="157"/>
      <c r="G191" s="157"/>
      <c r="H191" s="157"/>
      <c r="I191" s="158"/>
      <c r="J191" s="76" t="e">
        <f>INDEX(Tabla3[IMPORTE EXPRESO],MATCH(RENTABILIDAD[[#This Row],[ID VIAJE ]],Tabla3[ID VIAJE],0))</f>
        <v>#N/A</v>
      </c>
      <c r="K191" s="154" t="e">
        <f>RENTABILIDAD[[#This Row],[IMPORTE FACTURADO INT]]-RENTABILIDAD[[#This Row],[IMPORTE EXPRESOS]]</f>
        <v>#N/A</v>
      </c>
    </row>
    <row r="192" spans="1:11" hidden="1" x14ac:dyDescent="0.2">
      <c r="A192" s="156"/>
      <c r="B192" s="157"/>
      <c r="C192" s="157"/>
      <c r="D192" s="157"/>
      <c r="E192" s="157"/>
      <c r="F192" s="157"/>
      <c r="G192" s="157"/>
      <c r="H192" s="157"/>
      <c r="I192" s="158"/>
      <c r="J192" s="76" t="e">
        <f>INDEX(Tabla3[IMPORTE EXPRESO],MATCH(RENTABILIDAD[[#This Row],[ID VIAJE ]],Tabla3[ID VIAJE],0))</f>
        <v>#N/A</v>
      </c>
      <c r="K192" s="154" t="e">
        <f>RENTABILIDAD[[#This Row],[IMPORTE FACTURADO INT]]-RENTABILIDAD[[#This Row],[IMPORTE EXPRESOS]]</f>
        <v>#N/A</v>
      </c>
    </row>
    <row r="193" spans="1:11" hidden="1" x14ac:dyDescent="0.2">
      <c r="A193" s="156"/>
      <c r="B193" s="157"/>
      <c r="C193" s="157"/>
      <c r="D193" s="157"/>
      <c r="E193" s="157"/>
      <c r="F193" s="157"/>
      <c r="G193" s="157"/>
      <c r="H193" s="157"/>
      <c r="I193" s="158"/>
      <c r="J193" s="76" t="e">
        <f>INDEX(Tabla3[IMPORTE EXPRESO],MATCH(RENTABILIDAD[[#This Row],[ID VIAJE ]],Tabla3[ID VIAJE],0))</f>
        <v>#N/A</v>
      </c>
      <c r="K193" s="154" t="e">
        <f>RENTABILIDAD[[#This Row],[IMPORTE FACTURADO INT]]-RENTABILIDAD[[#This Row],[IMPORTE EXPRESOS]]</f>
        <v>#N/A</v>
      </c>
    </row>
    <row r="194" spans="1:11" hidden="1" x14ac:dyDescent="0.2">
      <c r="A194" s="156"/>
      <c r="B194" s="157"/>
      <c r="C194" s="157"/>
      <c r="D194" s="157"/>
      <c r="E194" s="157"/>
      <c r="F194" s="157"/>
      <c r="G194" s="157"/>
      <c r="H194" s="157"/>
      <c r="I194" s="158"/>
      <c r="J194" s="76" t="e">
        <f>INDEX(Tabla3[IMPORTE EXPRESO],MATCH(RENTABILIDAD[[#This Row],[ID VIAJE ]],Tabla3[ID VIAJE],0))</f>
        <v>#N/A</v>
      </c>
      <c r="K194" s="154" t="e">
        <f>RENTABILIDAD[[#This Row],[IMPORTE FACTURADO INT]]-RENTABILIDAD[[#This Row],[IMPORTE EXPRESOS]]</f>
        <v>#N/A</v>
      </c>
    </row>
    <row r="195" spans="1:11" hidden="1" x14ac:dyDescent="0.2">
      <c r="A195" s="156"/>
      <c r="B195" s="157"/>
      <c r="C195" s="157"/>
      <c r="D195" s="157"/>
      <c r="E195" s="157"/>
      <c r="F195" s="157"/>
      <c r="G195" s="157"/>
      <c r="H195" s="157"/>
      <c r="I195" s="158"/>
      <c r="J195" s="76" t="e">
        <f>INDEX(Tabla3[IMPORTE EXPRESO],MATCH(RENTABILIDAD[[#This Row],[ID VIAJE ]],Tabla3[ID VIAJE],0))</f>
        <v>#N/A</v>
      </c>
      <c r="K195" s="154" t="e">
        <f>RENTABILIDAD[[#This Row],[IMPORTE FACTURADO INT]]-RENTABILIDAD[[#This Row],[IMPORTE EXPRESOS]]</f>
        <v>#N/A</v>
      </c>
    </row>
    <row r="196" spans="1:11" hidden="1" x14ac:dyDescent="0.2">
      <c r="A196" s="156"/>
      <c r="B196" s="157"/>
      <c r="C196" s="157"/>
      <c r="D196" s="157"/>
      <c r="E196" s="157"/>
      <c r="F196" s="157"/>
      <c r="G196" s="157"/>
      <c r="H196" s="157"/>
      <c r="I196" s="158"/>
      <c r="J196" s="76" t="e">
        <f>INDEX(Tabla3[IMPORTE EXPRESO],MATCH(RENTABILIDAD[[#This Row],[ID VIAJE ]],Tabla3[ID VIAJE],0))</f>
        <v>#N/A</v>
      </c>
      <c r="K196" s="154" t="e">
        <f>RENTABILIDAD[[#This Row],[IMPORTE FACTURADO INT]]-RENTABILIDAD[[#This Row],[IMPORTE EXPRESOS]]</f>
        <v>#N/A</v>
      </c>
    </row>
    <row r="197" spans="1:11" hidden="1" x14ac:dyDescent="0.2">
      <c r="A197" s="156"/>
      <c r="B197" s="157"/>
      <c r="C197" s="157"/>
      <c r="D197" s="157"/>
      <c r="E197" s="157"/>
      <c r="F197" s="157"/>
      <c r="G197" s="157"/>
      <c r="H197" s="157"/>
      <c r="I197" s="158"/>
      <c r="J197" s="76" t="e">
        <f>INDEX(Tabla3[IMPORTE EXPRESO],MATCH(RENTABILIDAD[[#This Row],[ID VIAJE ]],Tabla3[ID VIAJE],0))</f>
        <v>#N/A</v>
      </c>
      <c r="K197" s="154" t="e">
        <f>RENTABILIDAD[[#This Row],[IMPORTE FACTURADO INT]]-RENTABILIDAD[[#This Row],[IMPORTE EXPRESOS]]</f>
        <v>#N/A</v>
      </c>
    </row>
    <row r="198" spans="1:11" hidden="1" x14ac:dyDescent="0.2">
      <c r="A198" s="156"/>
      <c r="B198" s="157"/>
      <c r="C198" s="157"/>
      <c r="D198" s="157"/>
      <c r="E198" s="157"/>
      <c r="F198" s="157"/>
      <c r="G198" s="157"/>
      <c r="H198" s="157"/>
      <c r="I198" s="158"/>
      <c r="J198" s="76" t="e">
        <f>INDEX(Tabla3[IMPORTE EXPRESO],MATCH(RENTABILIDAD[[#This Row],[ID VIAJE ]],Tabla3[ID VIAJE],0))</f>
        <v>#N/A</v>
      </c>
      <c r="K198" s="154" t="e">
        <f>RENTABILIDAD[[#This Row],[IMPORTE FACTURADO INT]]-RENTABILIDAD[[#This Row],[IMPORTE EXPRESOS]]</f>
        <v>#N/A</v>
      </c>
    </row>
    <row r="199" spans="1:11" hidden="1" x14ac:dyDescent="0.2">
      <c r="A199" s="156"/>
      <c r="B199" s="157"/>
      <c r="C199" s="157"/>
      <c r="D199" s="157"/>
      <c r="E199" s="157"/>
      <c r="F199" s="157"/>
      <c r="G199" s="157"/>
      <c r="H199" s="157"/>
      <c r="I199" s="158"/>
      <c r="J199" s="76" t="e">
        <f>INDEX(Tabla3[IMPORTE EXPRESO],MATCH(RENTABILIDAD[[#This Row],[ID VIAJE ]],Tabla3[ID VIAJE],0))</f>
        <v>#N/A</v>
      </c>
      <c r="K199" s="154" t="e">
        <f>RENTABILIDAD[[#This Row],[IMPORTE FACTURADO INT]]-RENTABILIDAD[[#This Row],[IMPORTE EXPRESOS]]</f>
        <v>#N/A</v>
      </c>
    </row>
    <row r="200" spans="1:11" hidden="1" x14ac:dyDescent="0.2">
      <c r="A200" s="156"/>
      <c r="B200" s="157"/>
      <c r="C200" s="157"/>
      <c r="D200" s="157"/>
      <c r="E200" s="157"/>
      <c r="F200" s="157"/>
      <c r="G200" s="157"/>
      <c r="H200" s="157"/>
      <c r="I200" s="158"/>
      <c r="J200" s="76" t="e">
        <f>INDEX(Tabla3[IMPORTE EXPRESO],MATCH(RENTABILIDAD[[#This Row],[ID VIAJE ]],Tabla3[ID VIAJE],0))</f>
        <v>#N/A</v>
      </c>
      <c r="K200" s="154" t="e">
        <f>RENTABILIDAD[[#This Row],[IMPORTE FACTURADO INT]]-RENTABILIDAD[[#This Row],[IMPORTE EXPRESOS]]</f>
        <v>#N/A</v>
      </c>
    </row>
    <row r="201" spans="1:11" hidden="1" x14ac:dyDescent="0.2">
      <c r="A201" s="156"/>
      <c r="B201" s="157"/>
      <c r="C201" s="157"/>
      <c r="D201" s="157"/>
      <c r="E201" s="157"/>
      <c r="F201" s="157"/>
      <c r="G201" s="157"/>
      <c r="H201" s="157"/>
      <c r="I201" s="158"/>
      <c r="J201" s="76" t="e">
        <f>INDEX(Tabla3[IMPORTE EXPRESO],MATCH(RENTABILIDAD[[#This Row],[ID VIAJE ]],Tabla3[ID VIAJE],0))</f>
        <v>#N/A</v>
      </c>
      <c r="K201" s="154" t="e">
        <f>RENTABILIDAD[[#This Row],[IMPORTE FACTURADO INT]]-RENTABILIDAD[[#This Row],[IMPORTE EXPRESOS]]</f>
        <v>#N/A</v>
      </c>
    </row>
    <row r="202" spans="1:11" hidden="1" x14ac:dyDescent="0.2">
      <c r="A202" s="156"/>
      <c r="B202" s="157"/>
      <c r="C202" s="157"/>
      <c r="D202" s="157"/>
      <c r="E202" s="157"/>
      <c r="F202" s="157"/>
      <c r="G202" s="157"/>
      <c r="H202" s="157"/>
      <c r="I202" s="158"/>
      <c r="J202" s="76" t="e">
        <f>INDEX(Tabla3[IMPORTE EXPRESO],MATCH(RENTABILIDAD[[#This Row],[ID VIAJE ]],Tabla3[ID VIAJE],0))</f>
        <v>#N/A</v>
      </c>
      <c r="K202" s="154" t="e">
        <f>RENTABILIDAD[[#This Row],[IMPORTE FACTURADO INT]]-RENTABILIDAD[[#This Row],[IMPORTE EXPRESOS]]</f>
        <v>#N/A</v>
      </c>
    </row>
    <row r="203" spans="1:11" hidden="1" x14ac:dyDescent="0.2">
      <c r="A203" s="156"/>
      <c r="B203" s="157"/>
      <c r="C203" s="157"/>
      <c r="D203" s="157"/>
      <c r="E203" s="157"/>
      <c r="F203" s="157"/>
      <c r="G203" s="157"/>
      <c r="H203" s="157"/>
      <c r="I203" s="158"/>
      <c r="J203" s="76" t="e">
        <f>INDEX(Tabla3[IMPORTE EXPRESO],MATCH(RENTABILIDAD[[#This Row],[ID VIAJE ]],Tabla3[ID VIAJE],0))</f>
        <v>#N/A</v>
      </c>
      <c r="K203" s="154" t="e">
        <f>RENTABILIDAD[[#This Row],[IMPORTE FACTURADO INT]]-RENTABILIDAD[[#This Row],[IMPORTE EXPRESOS]]</f>
        <v>#N/A</v>
      </c>
    </row>
    <row r="204" spans="1:11" hidden="1" x14ac:dyDescent="0.2">
      <c r="A204" s="156"/>
      <c r="B204" s="157"/>
      <c r="C204" s="157"/>
      <c r="D204" s="157"/>
      <c r="E204" s="157"/>
      <c r="F204" s="157"/>
      <c r="G204" s="157"/>
      <c r="H204" s="157"/>
      <c r="I204" s="158"/>
      <c r="J204" s="76" t="e">
        <f>INDEX(Tabla3[IMPORTE EXPRESO],MATCH(RENTABILIDAD[[#This Row],[ID VIAJE ]],Tabla3[ID VIAJE],0))</f>
        <v>#N/A</v>
      </c>
      <c r="K204" s="154" t="e">
        <f>RENTABILIDAD[[#This Row],[IMPORTE FACTURADO INT]]-RENTABILIDAD[[#This Row],[IMPORTE EXPRESOS]]</f>
        <v>#N/A</v>
      </c>
    </row>
    <row r="205" spans="1:11" hidden="1" x14ac:dyDescent="0.2">
      <c r="A205" s="156"/>
      <c r="B205" s="157"/>
      <c r="C205" s="157"/>
      <c r="D205" s="157"/>
      <c r="E205" s="157"/>
      <c r="F205" s="157"/>
      <c r="G205" s="157"/>
      <c r="H205" s="157"/>
      <c r="I205" s="158"/>
      <c r="J205" s="76" t="e">
        <f>INDEX(Tabla3[IMPORTE EXPRESO],MATCH(RENTABILIDAD[[#This Row],[ID VIAJE ]],Tabla3[ID VIAJE],0))</f>
        <v>#N/A</v>
      </c>
      <c r="K205" s="154" t="e">
        <f>RENTABILIDAD[[#This Row],[IMPORTE FACTURADO INT]]-RENTABILIDAD[[#This Row],[IMPORTE EXPRESOS]]</f>
        <v>#N/A</v>
      </c>
    </row>
    <row r="206" spans="1:11" hidden="1" x14ac:dyDescent="0.2">
      <c r="A206" s="156"/>
      <c r="B206" s="157"/>
      <c r="C206" s="157"/>
      <c r="D206" s="157"/>
      <c r="E206" s="157"/>
      <c r="F206" s="157"/>
      <c r="G206" s="157"/>
      <c r="H206" s="157"/>
      <c r="I206" s="158"/>
      <c r="J206" s="76" t="e">
        <f>INDEX(Tabla3[IMPORTE EXPRESO],MATCH(RENTABILIDAD[[#This Row],[ID VIAJE ]],Tabla3[ID VIAJE],0))</f>
        <v>#N/A</v>
      </c>
      <c r="K206" s="154" t="e">
        <f>RENTABILIDAD[[#This Row],[IMPORTE FACTURADO INT]]-RENTABILIDAD[[#This Row],[IMPORTE EXPRESOS]]</f>
        <v>#N/A</v>
      </c>
    </row>
    <row r="207" spans="1:11" hidden="1" x14ac:dyDescent="0.2">
      <c r="A207" s="156"/>
      <c r="B207" s="157"/>
      <c r="C207" s="157"/>
      <c r="D207" s="157"/>
      <c r="E207" s="157"/>
      <c r="F207" s="157"/>
      <c r="G207" s="157"/>
      <c r="H207" s="157"/>
      <c r="I207" s="158"/>
      <c r="J207" s="76" t="e">
        <f>INDEX(Tabla3[IMPORTE EXPRESO],MATCH(RENTABILIDAD[[#This Row],[ID VIAJE ]],Tabla3[ID VIAJE],0))</f>
        <v>#N/A</v>
      </c>
      <c r="K207" s="154" t="e">
        <f>RENTABILIDAD[[#This Row],[IMPORTE FACTURADO INT]]-RENTABILIDAD[[#This Row],[IMPORTE EXPRESOS]]</f>
        <v>#N/A</v>
      </c>
    </row>
    <row r="208" spans="1:11" hidden="1" x14ac:dyDescent="0.2">
      <c r="A208" s="156"/>
      <c r="B208" s="157"/>
      <c r="C208" s="157"/>
      <c r="D208" s="157"/>
      <c r="E208" s="157"/>
      <c r="F208" s="157"/>
      <c r="G208" s="157"/>
      <c r="H208" s="157"/>
      <c r="I208" s="158"/>
      <c r="J208" s="76" t="e">
        <f>INDEX(Tabla3[IMPORTE EXPRESO],MATCH(RENTABILIDAD[[#This Row],[ID VIAJE ]],Tabla3[ID VIAJE],0))</f>
        <v>#N/A</v>
      </c>
      <c r="K208" s="154" t="e">
        <f>RENTABILIDAD[[#This Row],[IMPORTE FACTURADO INT]]-RENTABILIDAD[[#This Row],[IMPORTE EXPRESOS]]</f>
        <v>#N/A</v>
      </c>
    </row>
    <row r="209" spans="1:11" hidden="1" x14ac:dyDescent="0.2">
      <c r="A209" s="156"/>
      <c r="B209" s="157"/>
      <c r="C209" s="157"/>
      <c r="D209" s="157"/>
      <c r="E209" s="157"/>
      <c r="F209" s="157"/>
      <c r="G209" s="157"/>
      <c r="H209" s="157"/>
      <c r="I209" s="158"/>
      <c r="J209" s="76" t="e">
        <f>INDEX(Tabla3[IMPORTE EXPRESO],MATCH(RENTABILIDAD[[#This Row],[ID VIAJE ]],Tabla3[ID VIAJE],0))</f>
        <v>#N/A</v>
      </c>
      <c r="K209" s="154" t="e">
        <f>RENTABILIDAD[[#This Row],[IMPORTE FACTURADO INT]]-RENTABILIDAD[[#This Row],[IMPORTE EXPRESOS]]</f>
        <v>#N/A</v>
      </c>
    </row>
    <row r="210" spans="1:11" hidden="1" x14ac:dyDescent="0.2">
      <c r="A210" s="156"/>
      <c r="B210" s="157"/>
      <c r="C210" s="157"/>
      <c r="D210" s="157"/>
      <c r="E210" s="157"/>
      <c r="F210" s="157"/>
      <c r="G210" s="157"/>
      <c r="H210" s="157"/>
      <c r="I210" s="158"/>
      <c r="J210" s="76" t="e">
        <f>INDEX(Tabla3[IMPORTE EXPRESO],MATCH(RENTABILIDAD[[#This Row],[ID VIAJE ]],Tabla3[ID VIAJE],0))</f>
        <v>#N/A</v>
      </c>
      <c r="K210" s="154" t="e">
        <f>RENTABILIDAD[[#This Row],[IMPORTE FACTURADO INT]]-RENTABILIDAD[[#This Row],[IMPORTE EXPRESOS]]</f>
        <v>#N/A</v>
      </c>
    </row>
    <row r="211" spans="1:11" hidden="1" x14ac:dyDescent="0.2">
      <c r="A211" s="156"/>
      <c r="B211" s="157"/>
      <c r="C211" s="157"/>
      <c r="D211" s="157"/>
      <c r="E211" s="157"/>
      <c r="F211" s="157"/>
      <c r="G211" s="157"/>
      <c r="H211" s="157"/>
      <c r="I211" s="158"/>
      <c r="J211" s="76" t="e">
        <f>INDEX(Tabla3[IMPORTE EXPRESO],MATCH(RENTABILIDAD[[#This Row],[ID VIAJE ]],Tabla3[ID VIAJE],0))</f>
        <v>#N/A</v>
      </c>
      <c r="K211" s="154" t="e">
        <f>RENTABILIDAD[[#This Row],[IMPORTE FACTURADO INT]]-RENTABILIDAD[[#This Row],[IMPORTE EXPRESOS]]</f>
        <v>#N/A</v>
      </c>
    </row>
    <row r="212" spans="1:11" hidden="1" x14ac:dyDescent="0.2">
      <c r="A212" s="156"/>
      <c r="B212" s="157"/>
      <c r="C212" s="157"/>
      <c r="D212" s="157"/>
      <c r="E212" s="157"/>
      <c r="F212" s="157"/>
      <c r="G212" s="157"/>
      <c r="H212" s="157"/>
      <c r="I212" s="158"/>
      <c r="J212" s="76" t="e">
        <f>INDEX(Tabla3[IMPORTE EXPRESO],MATCH(RENTABILIDAD[[#This Row],[ID VIAJE ]],Tabla3[ID VIAJE],0))</f>
        <v>#N/A</v>
      </c>
      <c r="K212" s="154" t="e">
        <f>RENTABILIDAD[[#This Row],[IMPORTE FACTURADO INT]]-RENTABILIDAD[[#This Row],[IMPORTE EXPRESOS]]</f>
        <v>#N/A</v>
      </c>
    </row>
    <row r="213" spans="1:11" hidden="1" x14ac:dyDescent="0.2">
      <c r="A213" s="156"/>
      <c r="B213" s="157"/>
      <c r="C213" s="157"/>
      <c r="D213" s="157"/>
      <c r="E213" s="157"/>
      <c r="F213" s="157"/>
      <c r="G213" s="157"/>
      <c r="H213" s="157"/>
      <c r="I213" s="158"/>
      <c r="J213" s="76" t="e">
        <f>INDEX(Tabla3[IMPORTE EXPRESO],MATCH(RENTABILIDAD[[#This Row],[ID VIAJE ]],Tabla3[ID VIAJE],0))</f>
        <v>#N/A</v>
      </c>
      <c r="K213" s="154" t="e">
        <f>RENTABILIDAD[[#This Row],[IMPORTE FACTURADO INT]]-RENTABILIDAD[[#This Row],[IMPORTE EXPRESOS]]</f>
        <v>#N/A</v>
      </c>
    </row>
    <row r="214" spans="1:11" hidden="1" x14ac:dyDescent="0.2">
      <c r="A214" s="156"/>
      <c r="B214" s="157"/>
      <c r="C214" s="157"/>
      <c r="D214" s="157"/>
      <c r="E214" s="157"/>
      <c r="F214" s="157"/>
      <c r="G214" s="157"/>
      <c r="H214" s="157"/>
      <c r="I214" s="158"/>
      <c r="J214" s="76" t="e">
        <f>INDEX(Tabla3[IMPORTE EXPRESO],MATCH(RENTABILIDAD[[#This Row],[ID VIAJE ]],Tabla3[ID VIAJE],0))</f>
        <v>#N/A</v>
      </c>
      <c r="K214" s="154" t="e">
        <f>RENTABILIDAD[[#This Row],[IMPORTE FACTURADO INT]]-RENTABILIDAD[[#This Row],[IMPORTE EXPRESOS]]</f>
        <v>#N/A</v>
      </c>
    </row>
    <row r="215" spans="1:11" hidden="1" x14ac:dyDescent="0.2">
      <c r="A215" s="156"/>
      <c r="B215" s="157"/>
      <c r="C215" s="157"/>
      <c r="D215" s="157"/>
      <c r="E215" s="157"/>
      <c r="F215" s="157"/>
      <c r="G215" s="157"/>
      <c r="H215" s="157"/>
      <c r="I215" s="158"/>
      <c r="J215" s="76" t="e">
        <f>INDEX(Tabla3[IMPORTE EXPRESO],MATCH(RENTABILIDAD[[#This Row],[ID VIAJE ]],Tabla3[ID VIAJE],0))</f>
        <v>#N/A</v>
      </c>
      <c r="K215" s="154" t="e">
        <f>RENTABILIDAD[[#This Row],[IMPORTE FACTURADO INT]]-RENTABILIDAD[[#This Row],[IMPORTE EXPRESOS]]</f>
        <v>#N/A</v>
      </c>
    </row>
    <row r="216" spans="1:11" hidden="1" x14ac:dyDescent="0.2">
      <c r="A216" s="156"/>
      <c r="B216" s="157"/>
      <c r="C216" s="157"/>
      <c r="D216" s="157"/>
      <c r="E216" s="157"/>
      <c r="F216" s="157"/>
      <c r="G216" s="157"/>
      <c r="H216" s="157"/>
      <c r="I216" s="158"/>
      <c r="J216" s="76" t="e">
        <f>INDEX(Tabla3[IMPORTE EXPRESO],MATCH(RENTABILIDAD[[#This Row],[ID VIAJE ]],Tabla3[ID VIAJE],0))</f>
        <v>#N/A</v>
      </c>
      <c r="K216" s="154" t="e">
        <f>RENTABILIDAD[[#This Row],[IMPORTE FACTURADO INT]]-RENTABILIDAD[[#This Row],[IMPORTE EXPRESOS]]</f>
        <v>#N/A</v>
      </c>
    </row>
    <row r="217" spans="1:11" hidden="1" x14ac:dyDescent="0.2">
      <c r="A217" s="156"/>
      <c r="B217" s="157"/>
      <c r="C217" s="157"/>
      <c r="D217" s="157"/>
      <c r="E217" s="157"/>
      <c r="F217" s="157"/>
      <c r="G217" s="157"/>
      <c r="H217" s="157"/>
      <c r="I217" s="158"/>
      <c r="J217" s="76" t="e">
        <f>INDEX(Tabla3[IMPORTE EXPRESO],MATCH(RENTABILIDAD[[#This Row],[ID VIAJE ]],Tabla3[ID VIAJE],0))</f>
        <v>#N/A</v>
      </c>
      <c r="K217" s="154" t="e">
        <f>RENTABILIDAD[[#This Row],[IMPORTE FACTURADO INT]]-RENTABILIDAD[[#This Row],[IMPORTE EXPRESOS]]</f>
        <v>#N/A</v>
      </c>
    </row>
    <row r="218" spans="1:11" hidden="1" x14ac:dyDescent="0.2">
      <c r="A218" s="156"/>
      <c r="B218" s="157"/>
      <c r="C218" s="157"/>
      <c r="D218" s="157"/>
      <c r="E218" s="157"/>
      <c r="F218" s="157"/>
      <c r="G218" s="157"/>
      <c r="H218" s="157"/>
      <c r="I218" s="158"/>
      <c r="J218" s="76" t="e">
        <f>INDEX(Tabla3[IMPORTE EXPRESO],MATCH(RENTABILIDAD[[#This Row],[ID VIAJE ]],Tabla3[ID VIAJE],0))</f>
        <v>#N/A</v>
      </c>
      <c r="K218" s="154" t="e">
        <f>RENTABILIDAD[[#This Row],[IMPORTE FACTURADO INT]]-RENTABILIDAD[[#This Row],[IMPORTE EXPRESOS]]</f>
        <v>#N/A</v>
      </c>
    </row>
    <row r="219" spans="1:11" hidden="1" x14ac:dyDescent="0.2">
      <c r="A219" s="156"/>
      <c r="B219" s="157"/>
      <c r="C219" s="157"/>
      <c r="D219" s="157"/>
      <c r="E219" s="157"/>
      <c r="F219" s="157"/>
      <c r="G219" s="157"/>
      <c r="H219" s="157"/>
      <c r="I219" s="158"/>
      <c r="J219" s="76" t="e">
        <f>INDEX(Tabla3[IMPORTE EXPRESO],MATCH(RENTABILIDAD[[#This Row],[ID VIAJE ]],Tabla3[ID VIAJE],0))</f>
        <v>#N/A</v>
      </c>
      <c r="K219" s="154" t="e">
        <f>RENTABILIDAD[[#This Row],[IMPORTE FACTURADO INT]]-RENTABILIDAD[[#This Row],[IMPORTE EXPRESOS]]</f>
        <v>#N/A</v>
      </c>
    </row>
    <row r="220" spans="1:11" hidden="1" x14ac:dyDescent="0.2">
      <c r="A220" s="156"/>
      <c r="B220" s="157"/>
      <c r="C220" s="157"/>
      <c r="D220" s="157"/>
      <c r="E220" s="157"/>
      <c r="F220" s="157"/>
      <c r="G220" s="157"/>
      <c r="H220" s="157"/>
      <c r="I220" s="158"/>
      <c r="J220" s="76" t="e">
        <f>INDEX(Tabla3[IMPORTE EXPRESO],MATCH(RENTABILIDAD[[#This Row],[ID VIAJE ]],Tabla3[ID VIAJE],0))</f>
        <v>#N/A</v>
      </c>
      <c r="K220" s="154" t="e">
        <f>RENTABILIDAD[[#This Row],[IMPORTE FACTURADO INT]]-RENTABILIDAD[[#This Row],[IMPORTE EXPRESOS]]</f>
        <v>#N/A</v>
      </c>
    </row>
    <row r="221" spans="1:11" hidden="1" x14ac:dyDescent="0.2">
      <c r="A221" s="156"/>
      <c r="B221" s="157"/>
      <c r="C221" s="157"/>
      <c r="D221" s="157"/>
      <c r="E221" s="157"/>
      <c r="F221" s="157"/>
      <c r="G221" s="157"/>
      <c r="H221" s="157"/>
      <c r="I221" s="158"/>
      <c r="J221" s="76" t="e">
        <f>INDEX(Tabla3[IMPORTE EXPRESO],MATCH(RENTABILIDAD[[#This Row],[ID VIAJE ]],Tabla3[ID VIAJE],0))</f>
        <v>#N/A</v>
      </c>
      <c r="K221" s="154" t="e">
        <f>RENTABILIDAD[[#This Row],[IMPORTE FACTURADO INT]]-RENTABILIDAD[[#This Row],[IMPORTE EXPRESOS]]</f>
        <v>#N/A</v>
      </c>
    </row>
    <row r="222" spans="1:11" hidden="1" x14ac:dyDescent="0.2">
      <c r="A222" s="156"/>
      <c r="B222" s="157"/>
      <c r="C222" s="157"/>
      <c r="D222" s="157"/>
      <c r="E222" s="157"/>
      <c r="F222" s="157"/>
      <c r="G222" s="157"/>
      <c r="H222" s="157"/>
      <c r="I222" s="158"/>
      <c r="J222" s="76" t="e">
        <f>INDEX(Tabla3[IMPORTE EXPRESO],MATCH(RENTABILIDAD[[#This Row],[ID VIAJE ]],Tabla3[ID VIAJE],0))</f>
        <v>#N/A</v>
      </c>
      <c r="K222" s="154" t="e">
        <f>RENTABILIDAD[[#This Row],[IMPORTE FACTURADO INT]]-RENTABILIDAD[[#This Row],[IMPORTE EXPRESOS]]</f>
        <v>#N/A</v>
      </c>
    </row>
    <row r="223" spans="1:11" hidden="1" x14ac:dyDescent="0.2">
      <c r="A223" s="156"/>
      <c r="B223" s="157"/>
      <c r="C223" s="157"/>
      <c r="D223" s="157"/>
      <c r="E223" s="157"/>
      <c r="F223" s="157"/>
      <c r="G223" s="157"/>
      <c r="H223" s="157"/>
      <c r="I223" s="158"/>
      <c r="J223" s="76" t="e">
        <f>INDEX(Tabla3[IMPORTE EXPRESO],MATCH(RENTABILIDAD[[#This Row],[ID VIAJE ]],Tabla3[ID VIAJE],0))</f>
        <v>#N/A</v>
      </c>
      <c r="K223" s="154" t="e">
        <f>RENTABILIDAD[[#This Row],[IMPORTE FACTURADO INT]]-RENTABILIDAD[[#This Row],[IMPORTE EXPRESOS]]</f>
        <v>#N/A</v>
      </c>
    </row>
    <row r="224" spans="1:11" hidden="1" x14ac:dyDescent="0.2">
      <c r="A224" s="156"/>
      <c r="B224" s="157"/>
      <c r="C224" s="157"/>
      <c r="D224" s="157"/>
      <c r="E224" s="157"/>
      <c r="F224" s="157"/>
      <c r="G224" s="157"/>
      <c r="H224" s="157"/>
      <c r="I224" s="158"/>
      <c r="J224" s="76" t="e">
        <f>INDEX(Tabla3[IMPORTE EXPRESO],MATCH(RENTABILIDAD[[#This Row],[ID VIAJE ]],Tabla3[ID VIAJE],0))</f>
        <v>#N/A</v>
      </c>
      <c r="K224" s="154" t="e">
        <f>RENTABILIDAD[[#This Row],[IMPORTE FACTURADO INT]]-RENTABILIDAD[[#This Row],[IMPORTE EXPRESOS]]</f>
        <v>#N/A</v>
      </c>
    </row>
    <row r="225" spans="1:11" hidden="1" x14ac:dyDescent="0.2">
      <c r="A225" s="156"/>
      <c r="B225" s="157"/>
      <c r="C225" s="157"/>
      <c r="D225" s="157"/>
      <c r="E225" s="157"/>
      <c r="F225" s="157"/>
      <c r="G225" s="157"/>
      <c r="H225" s="157"/>
      <c r="I225" s="158"/>
      <c r="J225" s="76" t="e">
        <f>INDEX(Tabla3[IMPORTE EXPRESO],MATCH(RENTABILIDAD[[#This Row],[ID VIAJE ]],Tabla3[ID VIAJE],0))</f>
        <v>#N/A</v>
      </c>
      <c r="K225" s="154" t="e">
        <f>RENTABILIDAD[[#This Row],[IMPORTE FACTURADO INT]]-RENTABILIDAD[[#This Row],[IMPORTE EXPRESOS]]</f>
        <v>#N/A</v>
      </c>
    </row>
    <row r="226" spans="1:11" hidden="1" x14ac:dyDescent="0.2">
      <c r="A226" s="156"/>
      <c r="B226" s="157"/>
      <c r="C226" s="157"/>
      <c r="D226" s="157"/>
      <c r="E226" s="157"/>
      <c r="F226" s="157"/>
      <c r="G226" s="157"/>
      <c r="H226" s="157"/>
      <c r="I226" s="158"/>
      <c r="J226" s="76" t="e">
        <f>INDEX(Tabla3[IMPORTE EXPRESO],MATCH(RENTABILIDAD[[#This Row],[ID VIAJE ]],Tabla3[ID VIAJE],0))</f>
        <v>#N/A</v>
      </c>
      <c r="K226" s="154" t="e">
        <f>RENTABILIDAD[[#This Row],[IMPORTE FACTURADO INT]]-RENTABILIDAD[[#This Row],[IMPORTE EXPRESOS]]</f>
        <v>#N/A</v>
      </c>
    </row>
    <row r="227" spans="1:11" hidden="1" x14ac:dyDescent="0.2">
      <c r="A227" s="156"/>
      <c r="B227" s="157"/>
      <c r="C227" s="157"/>
      <c r="D227" s="157"/>
      <c r="E227" s="157"/>
      <c r="F227" s="157"/>
      <c r="G227" s="157"/>
      <c r="H227" s="157"/>
      <c r="I227" s="158"/>
      <c r="J227" s="76" t="e">
        <f>INDEX(Tabla3[IMPORTE EXPRESO],MATCH(RENTABILIDAD[[#This Row],[ID VIAJE ]],Tabla3[ID VIAJE],0))</f>
        <v>#N/A</v>
      </c>
      <c r="K227" s="154" t="e">
        <f>RENTABILIDAD[[#This Row],[IMPORTE FACTURADO INT]]-RENTABILIDAD[[#This Row],[IMPORTE EXPRESOS]]</f>
        <v>#N/A</v>
      </c>
    </row>
    <row r="228" spans="1:11" hidden="1" x14ac:dyDescent="0.2">
      <c r="A228" s="156"/>
      <c r="B228" s="157"/>
      <c r="C228" s="157"/>
      <c r="D228" s="157"/>
      <c r="E228" s="157"/>
      <c r="F228" s="157"/>
      <c r="G228" s="157"/>
      <c r="H228" s="157"/>
      <c r="I228" s="158"/>
      <c r="J228" s="76" t="e">
        <f>INDEX(Tabla3[IMPORTE EXPRESO],MATCH(RENTABILIDAD[[#This Row],[ID VIAJE ]],Tabla3[ID VIAJE],0))</f>
        <v>#N/A</v>
      </c>
      <c r="K228" s="154" t="e">
        <f>RENTABILIDAD[[#This Row],[IMPORTE FACTURADO INT]]-RENTABILIDAD[[#This Row],[IMPORTE EXPRESOS]]</f>
        <v>#N/A</v>
      </c>
    </row>
    <row r="229" spans="1:11" hidden="1" x14ac:dyDescent="0.2">
      <c r="A229" s="156"/>
      <c r="B229" s="157"/>
      <c r="C229" s="157"/>
      <c r="D229" s="157"/>
      <c r="E229" s="157"/>
      <c r="F229" s="157"/>
      <c r="G229" s="157"/>
      <c r="H229" s="157"/>
      <c r="I229" s="158"/>
      <c r="J229" s="76" t="e">
        <f>INDEX(Tabla3[IMPORTE EXPRESO],MATCH(RENTABILIDAD[[#This Row],[ID VIAJE ]],Tabla3[ID VIAJE],0))</f>
        <v>#N/A</v>
      </c>
      <c r="K229" s="154" t="e">
        <f>RENTABILIDAD[[#This Row],[IMPORTE FACTURADO INT]]-RENTABILIDAD[[#This Row],[IMPORTE EXPRESOS]]</f>
        <v>#N/A</v>
      </c>
    </row>
    <row r="230" spans="1:11" hidden="1" x14ac:dyDescent="0.2">
      <c r="A230" s="156"/>
      <c r="B230" s="157"/>
      <c r="C230" s="157"/>
      <c r="D230" s="157"/>
      <c r="E230" s="157"/>
      <c r="F230" s="157"/>
      <c r="G230" s="157"/>
      <c r="H230" s="157"/>
      <c r="I230" s="158"/>
      <c r="J230" s="76" t="e">
        <f>INDEX(Tabla3[IMPORTE EXPRESO],MATCH(RENTABILIDAD[[#This Row],[ID VIAJE ]],Tabla3[ID VIAJE],0))</f>
        <v>#N/A</v>
      </c>
      <c r="K230" s="154" t="e">
        <f>RENTABILIDAD[[#This Row],[IMPORTE FACTURADO INT]]-RENTABILIDAD[[#This Row],[IMPORTE EXPRESOS]]</f>
        <v>#N/A</v>
      </c>
    </row>
    <row r="231" spans="1:11" hidden="1" x14ac:dyDescent="0.2">
      <c r="A231" s="156"/>
      <c r="B231" s="157"/>
      <c r="C231" s="157"/>
      <c r="D231" s="157"/>
      <c r="E231" s="157"/>
      <c r="F231" s="157"/>
      <c r="G231" s="157"/>
      <c r="H231" s="157"/>
      <c r="I231" s="158"/>
      <c r="J231" s="76" t="e">
        <f>INDEX(Tabla3[IMPORTE EXPRESO],MATCH(RENTABILIDAD[[#This Row],[ID VIAJE ]],Tabla3[ID VIAJE],0))</f>
        <v>#N/A</v>
      </c>
      <c r="K231" s="154" t="e">
        <f>RENTABILIDAD[[#This Row],[IMPORTE FACTURADO INT]]-RENTABILIDAD[[#This Row],[IMPORTE EXPRESOS]]</f>
        <v>#N/A</v>
      </c>
    </row>
    <row r="232" spans="1:11" hidden="1" x14ac:dyDescent="0.2">
      <c r="A232" s="156"/>
      <c r="B232" s="157"/>
      <c r="C232" s="157"/>
      <c r="D232" s="157"/>
      <c r="E232" s="157"/>
      <c r="F232" s="157"/>
      <c r="G232" s="157"/>
      <c r="H232" s="157"/>
      <c r="I232" s="158"/>
      <c r="J232" s="76" t="e">
        <f>INDEX(Tabla3[IMPORTE EXPRESO],MATCH(RENTABILIDAD[[#This Row],[ID VIAJE ]],Tabla3[ID VIAJE],0))</f>
        <v>#N/A</v>
      </c>
      <c r="K232" s="154" t="e">
        <f>RENTABILIDAD[[#This Row],[IMPORTE FACTURADO INT]]-RENTABILIDAD[[#This Row],[IMPORTE EXPRESOS]]</f>
        <v>#N/A</v>
      </c>
    </row>
    <row r="233" spans="1:11" hidden="1" x14ac:dyDescent="0.2">
      <c r="A233" s="156"/>
      <c r="B233" s="157"/>
      <c r="C233" s="157"/>
      <c r="D233" s="157"/>
      <c r="E233" s="157"/>
      <c r="F233" s="157"/>
      <c r="G233" s="157"/>
      <c r="H233" s="157"/>
      <c r="I233" s="158"/>
      <c r="J233" s="76" t="e">
        <f>INDEX(Tabla3[IMPORTE EXPRESO],MATCH(RENTABILIDAD[[#This Row],[ID VIAJE ]],Tabla3[ID VIAJE],0))</f>
        <v>#N/A</v>
      </c>
      <c r="K233" s="154" t="e">
        <f>RENTABILIDAD[[#This Row],[IMPORTE FACTURADO INT]]-RENTABILIDAD[[#This Row],[IMPORTE EXPRESOS]]</f>
        <v>#N/A</v>
      </c>
    </row>
    <row r="234" spans="1:11" hidden="1" x14ac:dyDescent="0.2">
      <c r="A234" s="156"/>
      <c r="B234" s="157"/>
      <c r="C234" s="157"/>
      <c r="D234" s="157"/>
      <c r="E234" s="157"/>
      <c r="F234" s="157"/>
      <c r="G234" s="157"/>
      <c r="H234" s="157"/>
      <c r="I234" s="158"/>
      <c r="J234" s="76" t="e">
        <f>INDEX(Tabla3[IMPORTE EXPRESO],MATCH(RENTABILIDAD[[#This Row],[ID VIAJE ]],Tabla3[ID VIAJE],0))</f>
        <v>#N/A</v>
      </c>
      <c r="K234" s="154" t="e">
        <f>RENTABILIDAD[[#This Row],[IMPORTE FACTURADO INT]]-RENTABILIDAD[[#This Row],[IMPORTE EXPRESOS]]</f>
        <v>#N/A</v>
      </c>
    </row>
    <row r="235" spans="1:11" hidden="1" x14ac:dyDescent="0.2">
      <c r="A235" s="156"/>
      <c r="B235" s="157"/>
      <c r="C235" s="157"/>
      <c r="D235" s="157"/>
      <c r="E235" s="157"/>
      <c r="F235" s="157"/>
      <c r="G235" s="157"/>
      <c r="H235" s="157"/>
      <c r="I235" s="158"/>
      <c r="J235" s="76" t="e">
        <f>INDEX(Tabla3[IMPORTE EXPRESO],MATCH(RENTABILIDAD[[#This Row],[ID VIAJE ]],Tabla3[ID VIAJE],0))</f>
        <v>#N/A</v>
      </c>
      <c r="K235" s="154" t="e">
        <f>RENTABILIDAD[[#This Row],[IMPORTE FACTURADO INT]]-RENTABILIDAD[[#This Row],[IMPORTE EXPRESOS]]</f>
        <v>#N/A</v>
      </c>
    </row>
    <row r="236" spans="1:11" hidden="1" x14ac:dyDescent="0.2">
      <c r="A236" s="156"/>
      <c r="B236" s="157"/>
      <c r="C236" s="157"/>
      <c r="D236" s="157"/>
      <c r="E236" s="157"/>
      <c r="F236" s="157"/>
      <c r="G236" s="157"/>
      <c r="H236" s="157"/>
      <c r="I236" s="158"/>
      <c r="J236" s="76" t="e">
        <f>INDEX(Tabla3[IMPORTE EXPRESO],MATCH(RENTABILIDAD[[#This Row],[ID VIAJE ]],Tabla3[ID VIAJE],0))</f>
        <v>#N/A</v>
      </c>
      <c r="K236" s="154" t="e">
        <f>RENTABILIDAD[[#This Row],[IMPORTE FACTURADO INT]]-RENTABILIDAD[[#This Row],[IMPORTE EXPRESOS]]</f>
        <v>#N/A</v>
      </c>
    </row>
    <row r="237" spans="1:11" hidden="1" x14ac:dyDescent="0.2">
      <c r="A237" s="156"/>
      <c r="B237" s="157"/>
      <c r="C237" s="157"/>
      <c r="D237" s="157"/>
      <c r="E237" s="157"/>
      <c r="F237" s="157"/>
      <c r="G237" s="157"/>
      <c r="H237" s="157"/>
      <c r="I237" s="158"/>
      <c r="J237" s="76" t="e">
        <f>INDEX(Tabla3[IMPORTE EXPRESO],MATCH(RENTABILIDAD[[#This Row],[ID VIAJE ]],Tabla3[ID VIAJE],0))</f>
        <v>#N/A</v>
      </c>
      <c r="K237" s="154" t="e">
        <f>RENTABILIDAD[[#This Row],[IMPORTE FACTURADO INT]]-RENTABILIDAD[[#This Row],[IMPORTE EXPRESOS]]</f>
        <v>#N/A</v>
      </c>
    </row>
    <row r="238" spans="1:11" hidden="1" x14ac:dyDescent="0.2">
      <c r="A238" s="156"/>
      <c r="B238" s="157"/>
      <c r="C238" s="157"/>
      <c r="D238" s="157"/>
      <c r="E238" s="157"/>
      <c r="F238" s="157"/>
      <c r="G238" s="157"/>
      <c r="H238" s="157"/>
      <c r="I238" s="158"/>
      <c r="J238" s="76" t="e">
        <f>INDEX(Tabla3[IMPORTE EXPRESO],MATCH(RENTABILIDAD[[#This Row],[ID VIAJE ]],Tabla3[ID VIAJE],0))</f>
        <v>#N/A</v>
      </c>
      <c r="K238" s="154" t="e">
        <f>RENTABILIDAD[[#This Row],[IMPORTE FACTURADO INT]]-RENTABILIDAD[[#This Row],[IMPORTE EXPRESOS]]</f>
        <v>#N/A</v>
      </c>
    </row>
    <row r="239" spans="1:11" hidden="1" x14ac:dyDescent="0.2">
      <c r="A239" s="156"/>
      <c r="B239" s="157"/>
      <c r="C239" s="157"/>
      <c r="D239" s="157"/>
      <c r="E239" s="157"/>
      <c r="F239" s="157"/>
      <c r="G239" s="157"/>
      <c r="H239" s="157"/>
      <c r="I239" s="158"/>
      <c r="J239" s="76" t="e">
        <f>INDEX(Tabla3[IMPORTE EXPRESO],MATCH(RENTABILIDAD[[#This Row],[ID VIAJE ]],Tabla3[ID VIAJE],0))</f>
        <v>#N/A</v>
      </c>
      <c r="K239" s="154" t="e">
        <f>RENTABILIDAD[[#This Row],[IMPORTE FACTURADO INT]]-RENTABILIDAD[[#This Row],[IMPORTE EXPRESOS]]</f>
        <v>#N/A</v>
      </c>
    </row>
    <row r="240" spans="1:11" hidden="1" x14ac:dyDescent="0.2">
      <c r="A240" s="156"/>
      <c r="B240" s="157"/>
      <c r="C240" s="157"/>
      <c r="D240" s="157"/>
      <c r="E240" s="157"/>
      <c r="F240" s="157"/>
      <c r="G240" s="157"/>
      <c r="H240" s="157"/>
      <c r="I240" s="158"/>
      <c r="J240" s="76" t="e">
        <f>INDEX(Tabla3[IMPORTE EXPRESO],MATCH(RENTABILIDAD[[#This Row],[ID VIAJE ]],Tabla3[ID VIAJE],0))</f>
        <v>#N/A</v>
      </c>
      <c r="K240" s="154" t="e">
        <f>RENTABILIDAD[[#This Row],[IMPORTE FACTURADO INT]]-RENTABILIDAD[[#This Row],[IMPORTE EXPRESOS]]</f>
        <v>#N/A</v>
      </c>
    </row>
    <row r="241" spans="1:11" hidden="1" x14ac:dyDescent="0.2">
      <c r="A241" s="156"/>
      <c r="B241" s="157"/>
      <c r="C241" s="157"/>
      <c r="D241" s="157"/>
      <c r="E241" s="157"/>
      <c r="F241" s="157"/>
      <c r="G241" s="157"/>
      <c r="H241" s="157"/>
      <c r="I241" s="158"/>
      <c r="J241" s="76" t="e">
        <f>INDEX(Tabla3[IMPORTE EXPRESO],MATCH(RENTABILIDAD[[#This Row],[ID VIAJE ]],Tabla3[ID VIAJE],0))</f>
        <v>#N/A</v>
      </c>
      <c r="K241" s="154" t="e">
        <f>RENTABILIDAD[[#This Row],[IMPORTE FACTURADO INT]]-RENTABILIDAD[[#This Row],[IMPORTE EXPRESOS]]</f>
        <v>#N/A</v>
      </c>
    </row>
    <row r="242" spans="1:11" hidden="1" x14ac:dyDescent="0.2">
      <c r="A242" s="156"/>
      <c r="B242" s="157"/>
      <c r="C242" s="157"/>
      <c r="D242" s="157"/>
      <c r="E242" s="157"/>
      <c r="F242" s="157"/>
      <c r="G242" s="157"/>
      <c r="H242" s="157"/>
      <c r="I242" s="158"/>
      <c r="J242" s="76" t="e">
        <f>INDEX(Tabla3[IMPORTE EXPRESO],MATCH(RENTABILIDAD[[#This Row],[ID VIAJE ]],Tabla3[ID VIAJE],0))</f>
        <v>#N/A</v>
      </c>
      <c r="K242" s="154" t="e">
        <f>RENTABILIDAD[[#This Row],[IMPORTE FACTURADO INT]]-RENTABILIDAD[[#This Row],[IMPORTE EXPRESOS]]</f>
        <v>#N/A</v>
      </c>
    </row>
    <row r="243" spans="1:11" hidden="1" x14ac:dyDescent="0.2">
      <c r="A243" s="156"/>
      <c r="B243" s="157"/>
      <c r="C243" s="157"/>
      <c r="D243" s="157"/>
      <c r="E243" s="157"/>
      <c r="F243" s="157"/>
      <c r="G243" s="157"/>
      <c r="H243" s="157"/>
      <c r="I243" s="158"/>
      <c r="J243" s="76" t="e">
        <f>INDEX(Tabla3[IMPORTE EXPRESO],MATCH(RENTABILIDAD[[#This Row],[ID VIAJE ]],Tabla3[ID VIAJE],0))</f>
        <v>#N/A</v>
      </c>
      <c r="K243" s="154" t="e">
        <f>RENTABILIDAD[[#This Row],[IMPORTE FACTURADO INT]]-RENTABILIDAD[[#This Row],[IMPORTE EXPRESOS]]</f>
        <v>#N/A</v>
      </c>
    </row>
    <row r="244" spans="1:11" hidden="1" x14ac:dyDescent="0.2">
      <c r="A244" s="156"/>
      <c r="B244" s="157"/>
      <c r="C244" s="157"/>
      <c r="D244" s="157"/>
      <c r="E244" s="157"/>
      <c r="F244" s="157"/>
      <c r="G244" s="157"/>
      <c r="H244" s="157"/>
      <c r="I244" s="158"/>
      <c r="J244" s="76" t="e">
        <f>INDEX(Tabla3[IMPORTE EXPRESO],MATCH(RENTABILIDAD[[#This Row],[ID VIAJE ]],Tabla3[ID VIAJE],0))</f>
        <v>#N/A</v>
      </c>
      <c r="K244" s="154" t="e">
        <f>RENTABILIDAD[[#This Row],[IMPORTE FACTURADO INT]]-RENTABILIDAD[[#This Row],[IMPORTE EXPRESOS]]</f>
        <v>#N/A</v>
      </c>
    </row>
    <row r="245" spans="1:11" hidden="1" x14ac:dyDescent="0.2">
      <c r="A245" s="156"/>
      <c r="B245" s="157"/>
      <c r="C245" s="157"/>
      <c r="D245" s="157"/>
      <c r="E245" s="157"/>
      <c r="F245" s="157"/>
      <c r="G245" s="157"/>
      <c r="H245" s="157"/>
      <c r="I245" s="158"/>
      <c r="J245" s="76" t="e">
        <f>INDEX(Tabla3[IMPORTE EXPRESO],MATCH(RENTABILIDAD[[#This Row],[ID VIAJE ]],Tabla3[ID VIAJE],0))</f>
        <v>#N/A</v>
      </c>
      <c r="K245" s="154" t="e">
        <f>RENTABILIDAD[[#This Row],[IMPORTE FACTURADO INT]]-RENTABILIDAD[[#This Row],[IMPORTE EXPRESOS]]</f>
        <v>#N/A</v>
      </c>
    </row>
    <row r="246" spans="1:11" hidden="1" x14ac:dyDescent="0.2">
      <c r="A246" s="156"/>
      <c r="B246" s="157"/>
      <c r="C246" s="157"/>
      <c r="D246" s="157"/>
      <c r="E246" s="157"/>
      <c r="F246" s="157"/>
      <c r="G246" s="157"/>
      <c r="H246" s="157"/>
      <c r="I246" s="158"/>
      <c r="J246" s="76" t="e">
        <f>INDEX(Tabla3[IMPORTE EXPRESO],MATCH(RENTABILIDAD[[#This Row],[ID VIAJE ]],Tabla3[ID VIAJE],0))</f>
        <v>#N/A</v>
      </c>
      <c r="K246" s="154" t="e">
        <f>RENTABILIDAD[[#This Row],[IMPORTE FACTURADO INT]]-RENTABILIDAD[[#This Row],[IMPORTE EXPRESOS]]</f>
        <v>#N/A</v>
      </c>
    </row>
    <row r="247" spans="1:11" hidden="1" x14ac:dyDescent="0.2">
      <c r="A247" s="156"/>
      <c r="B247" s="157"/>
      <c r="C247" s="157"/>
      <c r="D247" s="157"/>
      <c r="E247" s="157"/>
      <c r="F247" s="157"/>
      <c r="G247" s="157"/>
      <c r="H247" s="157"/>
      <c r="I247" s="158"/>
      <c r="J247" s="76" t="e">
        <f>INDEX(Tabla3[IMPORTE EXPRESO],MATCH(RENTABILIDAD[[#This Row],[ID VIAJE ]],Tabla3[ID VIAJE],0))</f>
        <v>#N/A</v>
      </c>
      <c r="K247" s="154" t="e">
        <f>RENTABILIDAD[[#This Row],[IMPORTE FACTURADO INT]]-RENTABILIDAD[[#This Row],[IMPORTE EXPRESOS]]</f>
        <v>#N/A</v>
      </c>
    </row>
    <row r="248" spans="1:11" hidden="1" x14ac:dyDescent="0.2">
      <c r="A248" s="156"/>
      <c r="B248" s="157"/>
      <c r="C248" s="157"/>
      <c r="D248" s="157"/>
      <c r="E248" s="157"/>
      <c r="F248" s="157"/>
      <c r="G248" s="157"/>
      <c r="H248" s="157"/>
      <c r="I248" s="158"/>
      <c r="J248" s="76" t="e">
        <f>INDEX(Tabla3[IMPORTE EXPRESO],MATCH(RENTABILIDAD[[#This Row],[ID VIAJE ]],Tabla3[ID VIAJE],0))</f>
        <v>#N/A</v>
      </c>
      <c r="K248" s="154" t="e">
        <f>RENTABILIDAD[[#This Row],[IMPORTE FACTURADO INT]]-RENTABILIDAD[[#This Row],[IMPORTE EXPRESOS]]</f>
        <v>#N/A</v>
      </c>
    </row>
    <row r="249" spans="1:11" hidden="1" x14ac:dyDescent="0.2">
      <c r="A249" s="156"/>
      <c r="B249" s="157"/>
      <c r="C249" s="157"/>
      <c r="D249" s="157"/>
      <c r="E249" s="157"/>
      <c r="F249" s="157"/>
      <c r="G249" s="157"/>
      <c r="H249" s="157"/>
      <c r="I249" s="158"/>
      <c r="J249" s="76" t="e">
        <f>INDEX(Tabla3[IMPORTE EXPRESO],MATCH(RENTABILIDAD[[#This Row],[ID VIAJE ]],Tabla3[ID VIAJE],0))</f>
        <v>#N/A</v>
      </c>
      <c r="K249" s="154" t="e">
        <f>RENTABILIDAD[[#This Row],[IMPORTE FACTURADO INT]]-RENTABILIDAD[[#This Row],[IMPORTE EXPRESOS]]</f>
        <v>#N/A</v>
      </c>
    </row>
    <row r="250" spans="1:11" hidden="1" x14ac:dyDescent="0.2">
      <c r="A250" s="156"/>
      <c r="B250" s="157"/>
      <c r="C250" s="157"/>
      <c r="D250" s="157"/>
      <c r="E250" s="157"/>
      <c r="F250" s="157"/>
      <c r="G250" s="157"/>
      <c r="H250" s="157"/>
      <c r="I250" s="158"/>
      <c r="J250" s="76" t="e">
        <f>INDEX(Tabla3[IMPORTE EXPRESO],MATCH(RENTABILIDAD[[#This Row],[ID VIAJE ]],Tabla3[ID VIAJE],0))</f>
        <v>#N/A</v>
      </c>
      <c r="K250" s="154" t="e">
        <f>RENTABILIDAD[[#This Row],[IMPORTE FACTURADO INT]]-RENTABILIDAD[[#This Row],[IMPORTE EXPRESOS]]</f>
        <v>#N/A</v>
      </c>
    </row>
    <row r="251" spans="1:11" hidden="1" x14ac:dyDescent="0.2">
      <c r="A251" s="156"/>
      <c r="B251" s="157"/>
      <c r="C251" s="157"/>
      <c r="D251" s="157"/>
      <c r="E251" s="157"/>
      <c r="F251" s="157"/>
      <c r="G251" s="157"/>
      <c r="H251" s="157"/>
      <c r="I251" s="158"/>
      <c r="J251" s="76" t="e">
        <f>INDEX(Tabla3[IMPORTE EXPRESO],MATCH(RENTABILIDAD[[#This Row],[ID VIAJE ]],Tabla3[ID VIAJE],0))</f>
        <v>#N/A</v>
      </c>
      <c r="K251" s="154" t="e">
        <f>RENTABILIDAD[[#This Row],[IMPORTE FACTURADO INT]]-RENTABILIDAD[[#This Row],[IMPORTE EXPRESOS]]</f>
        <v>#N/A</v>
      </c>
    </row>
    <row r="252" spans="1:11" hidden="1" x14ac:dyDescent="0.2">
      <c r="A252" s="156"/>
      <c r="B252" s="157"/>
      <c r="C252" s="157"/>
      <c r="D252" s="157"/>
      <c r="E252" s="157"/>
      <c r="F252" s="157"/>
      <c r="G252" s="157"/>
      <c r="H252" s="157"/>
      <c r="I252" s="158"/>
      <c r="J252" s="76" t="e">
        <f>INDEX(Tabla3[IMPORTE EXPRESO],MATCH(RENTABILIDAD[[#This Row],[ID VIAJE ]],Tabla3[ID VIAJE],0))</f>
        <v>#N/A</v>
      </c>
      <c r="K252" s="154" t="e">
        <f>RENTABILIDAD[[#This Row],[IMPORTE FACTURADO INT]]-RENTABILIDAD[[#This Row],[IMPORTE EXPRESOS]]</f>
        <v>#N/A</v>
      </c>
    </row>
    <row r="253" spans="1:11" hidden="1" x14ac:dyDescent="0.2">
      <c r="A253" s="156"/>
      <c r="B253" s="157"/>
      <c r="C253" s="157"/>
      <c r="D253" s="157"/>
      <c r="E253" s="157"/>
      <c r="F253" s="157"/>
      <c r="G253" s="157"/>
      <c r="H253" s="157"/>
      <c r="I253" s="158"/>
      <c r="J253" s="76" t="e">
        <f>INDEX(Tabla3[IMPORTE EXPRESO],MATCH(RENTABILIDAD[[#This Row],[ID VIAJE ]],Tabla3[ID VIAJE],0))</f>
        <v>#N/A</v>
      </c>
      <c r="K253" s="154" t="e">
        <f>RENTABILIDAD[[#This Row],[IMPORTE FACTURADO INT]]-RENTABILIDAD[[#This Row],[IMPORTE EXPRESOS]]</f>
        <v>#N/A</v>
      </c>
    </row>
    <row r="254" spans="1:11" hidden="1" x14ac:dyDescent="0.2">
      <c r="A254" s="156"/>
      <c r="B254" s="157"/>
      <c r="C254" s="157"/>
      <c r="D254" s="157"/>
      <c r="E254" s="157"/>
      <c r="F254" s="157"/>
      <c r="G254" s="157"/>
      <c r="H254" s="157"/>
      <c r="I254" s="158"/>
      <c r="J254" s="76" t="e">
        <f>INDEX(Tabla3[IMPORTE EXPRESO],MATCH(RENTABILIDAD[[#This Row],[ID VIAJE ]],Tabla3[ID VIAJE],0))</f>
        <v>#N/A</v>
      </c>
      <c r="K254" s="154" t="e">
        <f>RENTABILIDAD[[#This Row],[IMPORTE FACTURADO INT]]-RENTABILIDAD[[#This Row],[IMPORTE EXPRESOS]]</f>
        <v>#N/A</v>
      </c>
    </row>
    <row r="255" spans="1:11" hidden="1" x14ac:dyDescent="0.2">
      <c r="A255" s="156"/>
      <c r="B255" s="157"/>
      <c r="C255" s="157"/>
      <c r="D255" s="157"/>
      <c r="E255" s="157"/>
      <c r="F255" s="157"/>
      <c r="G255" s="157"/>
      <c r="H255" s="157"/>
      <c r="I255" s="158"/>
      <c r="J255" s="76" t="e">
        <f>INDEX(Tabla3[IMPORTE EXPRESO],MATCH(RENTABILIDAD[[#This Row],[ID VIAJE ]],Tabla3[ID VIAJE],0))</f>
        <v>#N/A</v>
      </c>
      <c r="K255" s="154" t="e">
        <f>RENTABILIDAD[[#This Row],[IMPORTE FACTURADO INT]]-RENTABILIDAD[[#This Row],[IMPORTE EXPRESOS]]</f>
        <v>#N/A</v>
      </c>
    </row>
    <row r="256" spans="1:11" hidden="1" x14ac:dyDescent="0.2">
      <c r="A256" s="156"/>
      <c r="B256" s="157"/>
      <c r="C256" s="157"/>
      <c r="D256" s="157"/>
      <c r="E256" s="157"/>
      <c r="F256" s="157"/>
      <c r="G256" s="157"/>
      <c r="H256" s="157"/>
      <c r="I256" s="158"/>
      <c r="J256" s="76" t="e">
        <f>INDEX(Tabla3[IMPORTE EXPRESO],MATCH(RENTABILIDAD[[#This Row],[ID VIAJE ]],Tabla3[ID VIAJE],0))</f>
        <v>#N/A</v>
      </c>
      <c r="K256" s="154" t="e">
        <f>RENTABILIDAD[[#This Row],[IMPORTE FACTURADO INT]]-RENTABILIDAD[[#This Row],[IMPORTE EXPRESOS]]</f>
        <v>#N/A</v>
      </c>
    </row>
    <row r="257" spans="1:11" hidden="1" x14ac:dyDescent="0.2">
      <c r="A257" s="156"/>
      <c r="B257" s="157"/>
      <c r="C257" s="157"/>
      <c r="D257" s="157"/>
      <c r="E257" s="157"/>
      <c r="F257" s="157"/>
      <c r="G257" s="157"/>
      <c r="H257" s="157"/>
      <c r="I257" s="158"/>
      <c r="J257" s="76" t="e">
        <f>INDEX(Tabla3[IMPORTE EXPRESO],MATCH(RENTABILIDAD[[#This Row],[ID VIAJE ]],Tabla3[ID VIAJE],0))</f>
        <v>#N/A</v>
      </c>
      <c r="K257" s="154" t="e">
        <f>RENTABILIDAD[[#This Row],[IMPORTE FACTURADO INT]]-RENTABILIDAD[[#This Row],[IMPORTE EXPRESOS]]</f>
        <v>#N/A</v>
      </c>
    </row>
    <row r="258" spans="1:11" hidden="1" x14ac:dyDescent="0.2">
      <c r="A258" s="156"/>
      <c r="B258" s="157"/>
      <c r="C258" s="157"/>
      <c r="D258" s="157"/>
      <c r="E258" s="157"/>
      <c r="F258" s="157"/>
      <c r="G258" s="157"/>
      <c r="H258" s="157"/>
      <c r="I258" s="158"/>
      <c r="J258" s="76" t="e">
        <f>INDEX(Tabla3[IMPORTE EXPRESO],MATCH(RENTABILIDAD[[#This Row],[ID VIAJE ]],Tabla3[ID VIAJE],0))</f>
        <v>#N/A</v>
      </c>
      <c r="K258" s="154" t="e">
        <f>RENTABILIDAD[[#This Row],[IMPORTE FACTURADO INT]]-RENTABILIDAD[[#This Row],[IMPORTE EXPRESOS]]</f>
        <v>#N/A</v>
      </c>
    </row>
    <row r="259" spans="1:11" hidden="1" x14ac:dyDescent="0.2">
      <c r="A259" s="156"/>
      <c r="B259" s="157"/>
      <c r="C259" s="157"/>
      <c r="D259" s="157"/>
      <c r="E259" s="157"/>
      <c r="F259" s="157"/>
      <c r="G259" s="157"/>
      <c r="H259" s="157"/>
      <c r="I259" s="158"/>
      <c r="J259" s="76" t="e">
        <f>INDEX(Tabla3[IMPORTE EXPRESO],MATCH(RENTABILIDAD[[#This Row],[ID VIAJE ]],Tabla3[ID VIAJE],0))</f>
        <v>#N/A</v>
      </c>
      <c r="K259" s="154" t="e">
        <f>RENTABILIDAD[[#This Row],[IMPORTE FACTURADO INT]]-RENTABILIDAD[[#This Row],[IMPORTE EXPRESOS]]</f>
        <v>#N/A</v>
      </c>
    </row>
    <row r="260" spans="1:11" hidden="1" x14ac:dyDescent="0.2">
      <c r="A260" s="156"/>
      <c r="B260" s="157"/>
      <c r="C260" s="157"/>
      <c r="D260" s="157"/>
      <c r="E260" s="157"/>
      <c r="F260" s="157"/>
      <c r="G260" s="157"/>
      <c r="H260" s="157"/>
      <c r="I260" s="158"/>
      <c r="J260" s="76" t="e">
        <f>INDEX(Tabla3[IMPORTE EXPRESO],MATCH(RENTABILIDAD[[#This Row],[ID VIAJE ]],Tabla3[ID VIAJE],0))</f>
        <v>#N/A</v>
      </c>
      <c r="K260" s="154" t="e">
        <f>RENTABILIDAD[[#This Row],[IMPORTE FACTURADO INT]]-RENTABILIDAD[[#This Row],[IMPORTE EXPRESOS]]</f>
        <v>#N/A</v>
      </c>
    </row>
    <row r="261" spans="1:11" hidden="1" x14ac:dyDescent="0.2">
      <c r="A261" s="156"/>
      <c r="B261" s="157"/>
      <c r="C261" s="157"/>
      <c r="D261" s="157"/>
      <c r="E261" s="157"/>
      <c r="F261" s="157"/>
      <c r="G261" s="157"/>
      <c r="H261" s="157"/>
      <c r="I261" s="158"/>
      <c r="J261" s="76" t="e">
        <f>INDEX(Tabla3[IMPORTE EXPRESO],MATCH(RENTABILIDAD[[#This Row],[ID VIAJE ]],Tabla3[ID VIAJE],0))</f>
        <v>#N/A</v>
      </c>
      <c r="K261" s="154" t="e">
        <f>RENTABILIDAD[[#This Row],[IMPORTE FACTURADO INT]]-RENTABILIDAD[[#This Row],[IMPORTE EXPRESOS]]</f>
        <v>#N/A</v>
      </c>
    </row>
    <row r="262" spans="1:11" hidden="1" x14ac:dyDescent="0.2">
      <c r="A262" s="156"/>
      <c r="B262" s="157"/>
      <c r="C262" s="157"/>
      <c r="D262" s="157"/>
      <c r="E262" s="157"/>
      <c r="F262" s="157"/>
      <c r="G262" s="157"/>
      <c r="H262" s="157"/>
      <c r="I262" s="158"/>
      <c r="J262" s="76" t="e">
        <f>INDEX(Tabla3[IMPORTE EXPRESO],MATCH(RENTABILIDAD[[#This Row],[ID VIAJE ]],Tabla3[ID VIAJE],0))</f>
        <v>#N/A</v>
      </c>
      <c r="K262" s="154" t="e">
        <f>RENTABILIDAD[[#This Row],[IMPORTE FACTURADO INT]]-RENTABILIDAD[[#This Row],[IMPORTE EXPRESOS]]</f>
        <v>#N/A</v>
      </c>
    </row>
    <row r="263" spans="1:11" hidden="1" x14ac:dyDescent="0.2">
      <c r="A263" s="156"/>
      <c r="B263" s="157"/>
      <c r="C263" s="157"/>
      <c r="D263" s="157"/>
      <c r="E263" s="157"/>
      <c r="F263" s="157"/>
      <c r="G263" s="157"/>
      <c r="H263" s="157"/>
      <c r="I263" s="158"/>
      <c r="J263" s="76" t="e">
        <f>INDEX(Tabla3[IMPORTE EXPRESO],MATCH(RENTABILIDAD[[#This Row],[ID VIAJE ]],Tabla3[ID VIAJE],0))</f>
        <v>#N/A</v>
      </c>
      <c r="K263" s="154" t="e">
        <f>RENTABILIDAD[[#This Row],[IMPORTE FACTURADO INT]]-RENTABILIDAD[[#This Row],[IMPORTE EXPRESOS]]</f>
        <v>#N/A</v>
      </c>
    </row>
    <row r="264" spans="1:11" hidden="1" x14ac:dyDescent="0.2">
      <c r="A264" s="156"/>
      <c r="B264" s="157"/>
      <c r="C264" s="157"/>
      <c r="D264" s="157"/>
      <c r="E264" s="157"/>
      <c r="F264" s="157"/>
      <c r="G264" s="157"/>
      <c r="H264" s="157"/>
      <c r="I264" s="158"/>
      <c r="J264" s="76" t="e">
        <f>INDEX(Tabla3[IMPORTE EXPRESO],MATCH(RENTABILIDAD[[#This Row],[ID VIAJE ]],Tabla3[ID VIAJE],0))</f>
        <v>#N/A</v>
      </c>
      <c r="K264" s="154" t="e">
        <f>RENTABILIDAD[[#This Row],[IMPORTE FACTURADO INT]]-RENTABILIDAD[[#This Row],[IMPORTE EXPRESOS]]</f>
        <v>#N/A</v>
      </c>
    </row>
    <row r="265" spans="1:11" hidden="1" x14ac:dyDescent="0.2">
      <c r="A265" s="156"/>
      <c r="B265" s="157"/>
      <c r="C265" s="157"/>
      <c r="D265" s="157"/>
      <c r="E265" s="157"/>
      <c r="F265" s="157"/>
      <c r="G265" s="157"/>
      <c r="H265" s="157"/>
      <c r="I265" s="158"/>
      <c r="J265" s="76" t="e">
        <f>INDEX(Tabla3[IMPORTE EXPRESO],MATCH(RENTABILIDAD[[#This Row],[ID VIAJE ]],Tabla3[ID VIAJE],0))</f>
        <v>#N/A</v>
      </c>
      <c r="K265" s="154" t="e">
        <f>RENTABILIDAD[[#This Row],[IMPORTE FACTURADO INT]]-RENTABILIDAD[[#This Row],[IMPORTE EXPRESOS]]</f>
        <v>#N/A</v>
      </c>
    </row>
    <row r="266" spans="1:11" hidden="1" x14ac:dyDescent="0.2">
      <c r="A266" s="156"/>
      <c r="B266" s="157"/>
      <c r="C266" s="157"/>
      <c r="D266" s="157"/>
      <c r="E266" s="157"/>
      <c r="F266" s="157"/>
      <c r="G266" s="157"/>
      <c r="H266" s="157"/>
      <c r="I266" s="158"/>
      <c r="J266" s="76" t="e">
        <f>INDEX(Tabla3[IMPORTE EXPRESO],MATCH(RENTABILIDAD[[#This Row],[ID VIAJE ]],Tabla3[ID VIAJE],0))</f>
        <v>#N/A</v>
      </c>
      <c r="K266" s="154" t="e">
        <f>RENTABILIDAD[[#This Row],[IMPORTE FACTURADO INT]]-RENTABILIDAD[[#This Row],[IMPORTE EXPRESOS]]</f>
        <v>#N/A</v>
      </c>
    </row>
    <row r="267" spans="1:11" hidden="1" x14ac:dyDescent="0.2">
      <c r="A267" s="156"/>
      <c r="B267" s="157"/>
      <c r="C267" s="157"/>
      <c r="D267" s="157"/>
      <c r="E267" s="157"/>
      <c r="F267" s="157"/>
      <c r="G267" s="157"/>
      <c r="H267" s="157"/>
      <c r="I267" s="158"/>
      <c r="J267" s="76" t="e">
        <f>INDEX(Tabla3[IMPORTE EXPRESO],MATCH(RENTABILIDAD[[#This Row],[ID VIAJE ]],Tabla3[ID VIAJE],0))</f>
        <v>#N/A</v>
      </c>
      <c r="K267" s="154" t="e">
        <f>RENTABILIDAD[[#This Row],[IMPORTE FACTURADO INT]]-RENTABILIDAD[[#This Row],[IMPORTE EXPRESOS]]</f>
        <v>#N/A</v>
      </c>
    </row>
    <row r="268" spans="1:11" hidden="1" x14ac:dyDescent="0.2">
      <c r="A268" s="156"/>
      <c r="B268" s="157"/>
      <c r="C268" s="157"/>
      <c r="D268" s="157"/>
      <c r="E268" s="157"/>
      <c r="F268" s="157"/>
      <c r="G268" s="157"/>
      <c r="H268" s="157"/>
      <c r="I268" s="158"/>
      <c r="J268" s="76" t="e">
        <f>INDEX(Tabla3[IMPORTE EXPRESO],MATCH(RENTABILIDAD[[#This Row],[ID VIAJE ]],Tabla3[ID VIAJE],0))</f>
        <v>#N/A</v>
      </c>
      <c r="K268" s="154" t="e">
        <f>RENTABILIDAD[[#This Row],[IMPORTE FACTURADO INT]]-RENTABILIDAD[[#This Row],[IMPORTE EXPRESOS]]</f>
        <v>#N/A</v>
      </c>
    </row>
    <row r="269" spans="1:11" hidden="1" x14ac:dyDescent="0.2">
      <c r="A269" s="156"/>
      <c r="B269" s="157"/>
      <c r="C269" s="157"/>
      <c r="D269" s="157"/>
      <c r="E269" s="157"/>
      <c r="F269" s="157"/>
      <c r="G269" s="157"/>
      <c r="H269" s="157"/>
      <c r="I269" s="158"/>
      <c r="J269" s="76" t="e">
        <f>INDEX(Tabla3[IMPORTE EXPRESO],MATCH(RENTABILIDAD[[#This Row],[ID VIAJE ]],Tabla3[ID VIAJE],0))</f>
        <v>#N/A</v>
      </c>
      <c r="K269" s="154" t="e">
        <f>RENTABILIDAD[[#This Row],[IMPORTE FACTURADO INT]]-RENTABILIDAD[[#This Row],[IMPORTE EXPRESOS]]</f>
        <v>#N/A</v>
      </c>
    </row>
    <row r="270" spans="1:11" hidden="1" x14ac:dyDescent="0.2">
      <c r="A270" s="156"/>
      <c r="B270" s="157"/>
      <c r="C270" s="157"/>
      <c r="D270" s="157"/>
      <c r="E270" s="157"/>
      <c r="F270" s="157"/>
      <c r="G270" s="157"/>
      <c r="H270" s="157"/>
      <c r="I270" s="158"/>
      <c r="J270" s="76" t="e">
        <f>INDEX(Tabla3[IMPORTE EXPRESO],MATCH(RENTABILIDAD[[#This Row],[ID VIAJE ]],Tabla3[ID VIAJE],0))</f>
        <v>#N/A</v>
      </c>
      <c r="K270" s="154" t="e">
        <f>RENTABILIDAD[[#This Row],[IMPORTE FACTURADO INT]]-RENTABILIDAD[[#This Row],[IMPORTE EXPRESOS]]</f>
        <v>#N/A</v>
      </c>
    </row>
    <row r="271" spans="1:11" hidden="1" x14ac:dyDescent="0.2">
      <c r="A271" s="156"/>
      <c r="B271" s="157"/>
      <c r="C271" s="157"/>
      <c r="D271" s="157"/>
      <c r="E271" s="157"/>
      <c r="F271" s="157"/>
      <c r="G271" s="157"/>
      <c r="H271" s="157"/>
      <c r="I271" s="158"/>
      <c r="J271" s="76" t="e">
        <f>INDEX(Tabla3[IMPORTE EXPRESO],MATCH(RENTABILIDAD[[#This Row],[ID VIAJE ]],Tabla3[ID VIAJE],0))</f>
        <v>#N/A</v>
      </c>
      <c r="K271" s="154" t="e">
        <f>RENTABILIDAD[[#This Row],[IMPORTE FACTURADO INT]]-RENTABILIDAD[[#This Row],[IMPORTE EXPRESOS]]</f>
        <v>#N/A</v>
      </c>
    </row>
    <row r="272" spans="1:11" hidden="1" x14ac:dyDescent="0.2">
      <c r="A272" s="156"/>
      <c r="B272" s="157"/>
      <c r="C272" s="157"/>
      <c r="D272" s="157"/>
      <c r="E272" s="157"/>
      <c r="F272" s="157"/>
      <c r="G272" s="157"/>
      <c r="H272" s="157"/>
      <c r="I272" s="158"/>
      <c r="J272" s="76" t="e">
        <f>INDEX(Tabla3[IMPORTE EXPRESO],MATCH(RENTABILIDAD[[#This Row],[ID VIAJE ]],Tabla3[ID VIAJE],0))</f>
        <v>#N/A</v>
      </c>
      <c r="K272" s="154" t="e">
        <f>RENTABILIDAD[[#This Row],[IMPORTE FACTURADO INT]]-RENTABILIDAD[[#This Row],[IMPORTE EXPRESOS]]</f>
        <v>#N/A</v>
      </c>
    </row>
    <row r="273" spans="1:11" hidden="1" x14ac:dyDescent="0.2">
      <c r="A273" s="156"/>
      <c r="B273" s="157"/>
      <c r="C273" s="157"/>
      <c r="D273" s="157"/>
      <c r="E273" s="157"/>
      <c r="F273" s="157"/>
      <c r="G273" s="157"/>
      <c r="H273" s="157"/>
      <c r="I273" s="158"/>
      <c r="J273" s="76" t="e">
        <f>INDEX(Tabla3[IMPORTE EXPRESO],MATCH(RENTABILIDAD[[#This Row],[ID VIAJE ]],Tabla3[ID VIAJE],0))</f>
        <v>#N/A</v>
      </c>
      <c r="K273" s="154" t="e">
        <f>RENTABILIDAD[[#This Row],[IMPORTE FACTURADO INT]]-RENTABILIDAD[[#This Row],[IMPORTE EXPRESOS]]</f>
        <v>#N/A</v>
      </c>
    </row>
    <row r="274" spans="1:11" hidden="1" x14ac:dyDescent="0.2">
      <c r="A274" s="156"/>
      <c r="B274" s="157"/>
      <c r="C274" s="157"/>
      <c r="D274" s="157"/>
      <c r="E274" s="157"/>
      <c r="F274" s="157"/>
      <c r="G274" s="157"/>
      <c r="H274" s="157"/>
      <c r="I274" s="158"/>
      <c r="J274" s="76" t="e">
        <f>INDEX(Tabla3[IMPORTE EXPRESO],MATCH(RENTABILIDAD[[#This Row],[ID VIAJE ]],Tabla3[ID VIAJE],0))</f>
        <v>#N/A</v>
      </c>
      <c r="K274" s="154" t="e">
        <f>RENTABILIDAD[[#This Row],[IMPORTE FACTURADO INT]]-RENTABILIDAD[[#This Row],[IMPORTE EXPRESOS]]</f>
        <v>#N/A</v>
      </c>
    </row>
    <row r="275" spans="1:11" hidden="1" x14ac:dyDescent="0.2">
      <c r="A275" s="156"/>
      <c r="B275" s="157"/>
      <c r="C275" s="157"/>
      <c r="D275" s="157"/>
      <c r="E275" s="157"/>
      <c r="F275" s="157"/>
      <c r="G275" s="157"/>
      <c r="H275" s="157"/>
      <c r="I275" s="158"/>
      <c r="J275" s="76" t="e">
        <f>INDEX(Tabla3[IMPORTE EXPRESO],MATCH(RENTABILIDAD[[#This Row],[ID VIAJE ]],Tabla3[ID VIAJE],0))</f>
        <v>#N/A</v>
      </c>
      <c r="K275" s="154" t="e">
        <f>RENTABILIDAD[[#This Row],[IMPORTE FACTURADO INT]]-RENTABILIDAD[[#This Row],[IMPORTE EXPRESOS]]</f>
        <v>#N/A</v>
      </c>
    </row>
    <row r="276" spans="1:11" hidden="1" x14ac:dyDescent="0.2">
      <c r="A276" s="156"/>
      <c r="B276" s="157"/>
      <c r="C276" s="157"/>
      <c r="D276" s="157"/>
      <c r="E276" s="157"/>
      <c r="F276" s="157"/>
      <c r="G276" s="157"/>
      <c r="H276" s="157"/>
      <c r="I276" s="158"/>
      <c r="J276" s="76" t="e">
        <f>INDEX(Tabla3[IMPORTE EXPRESO],MATCH(RENTABILIDAD[[#This Row],[ID VIAJE ]],Tabla3[ID VIAJE],0))</f>
        <v>#N/A</v>
      </c>
      <c r="K276" s="154" t="e">
        <f>RENTABILIDAD[[#This Row],[IMPORTE FACTURADO INT]]-RENTABILIDAD[[#This Row],[IMPORTE EXPRESOS]]</f>
        <v>#N/A</v>
      </c>
    </row>
    <row r="277" spans="1:11" hidden="1" x14ac:dyDescent="0.2">
      <c r="A277" s="156"/>
      <c r="B277" s="157"/>
      <c r="C277" s="157"/>
      <c r="D277" s="157"/>
      <c r="E277" s="157"/>
      <c r="F277" s="157"/>
      <c r="G277" s="157"/>
      <c r="H277" s="157"/>
      <c r="I277" s="158"/>
      <c r="J277" s="76" t="e">
        <f>INDEX(Tabla3[IMPORTE EXPRESO],MATCH(RENTABILIDAD[[#This Row],[ID VIAJE ]],Tabla3[ID VIAJE],0))</f>
        <v>#N/A</v>
      </c>
      <c r="K277" s="154" t="e">
        <f>RENTABILIDAD[[#This Row],[IMPORTE FACTURADO INT]]-RENTABILIDAD[[#This Row],[IMPORTE EXPRESOS]]</f>
        <v>#N/A</v>
      </c>
    </row>
    <row r="278" spans="1:11" hidden="1" x14ac:dyDescent="0.2">
      <c r="A278" s="156"/>
      <c r="B278" s="157"/>
      <c r="C278" s="157"/>
      <c r="D278" s="157"/>
      <c r="E278" s="157"/>
      <c r="F278" s="157"/>
      <c r="G278" s="157"/>
      <c r="H278" s="157"/>
      <c r="I278" s="158"/>
      <c r="J278" s="76" t="e">
        <f>INDEX(Tabla3[IMPORTE EXPRESO],MATCH(RENTABILIDAD[[#This Row],[ID VIAJE ]],Tabla3[ID VIAJE],0))</f>
        <v>#N/A</v>
      </c>
      <c r="K278" s="154" t="e">
        <f>RENTABILIDAD[[#This Row],[IMPORTE FACTURADO INT]]-RENTABILIDAD[[#This Row],[IMPORTE EXPRESOS]]</f>
        <v>#N/A</v>
      </c>
    </row>
    <row r="279" spans="1:11" hidden="1" x14ac:dyDescent="0.2">
      <c r="A279" s="156"/>
      <c r="B279" s="157"/>
      <c r="C279" s="157"/>
      <c r="D279" s="157"/>
      <c r="E279" s="157"/>
      <c r="F279" s="157"/>
      <c r="G279" s="157"/>
      <c r="H279" s="157"/>
      <c r="I279" s="158"/>
      <c r="J279" s="76" t="e">
        <f>INDEX(Tabla3[IMPORTE EXPRESO],MATCH(RENTABILIDAD[[#This Row],[ID VIAJE ]],Tabla3[ID VIAJE],0))</f>
        <v>#N/A</v>
      </c>
      <c r="K279" s="154" t="e">
        <f>RENTABILIDAD[[#This Row],[IMPORTE FACTURADO INT]]-RENTABILIDAD[[#This Row],[IMPORTE EXPRESOS]]</f>
        <v>#N/A</v>
      </c>
    </row>
    <row r="280" spans="1:11" hidden="1" x14ac:dyDescent="0.2">
      <c r="A280" s="156"/>
      <c r="B280" s="157"/>
      <c r="C280" s="157"/>
      <c r="D280" s="157"/>
      <c r="E280" s="157"/>
      <c r="F280" s="157"/>
      <c r="G280" s="157"/>
      <c r="H280" s="157"/>
      <c r="I280" s="158"/>
      <c r="J280" s="76" t="e">
        <f>INDEX(Tabla3[IMPORTE EXPRESO],MATCH(RENTABILIDAD[[#This Row],[ID VIAJE ]],Tabla3[ID VIAJE],0))</f>
        <v>#N/A</v>
      </c>
      <c r="K280" s="154" t="e">
        <f>RENTABILIDAD[[#This Row],[IMPORTE FACTURADO INT]]-RENTABILIDAD[[#This Row],[IMPORTE EXPRESOS]]</f>
        <v>#N/A</v>
      </c>
    </row>
    <row r="281" spans="1:11" hidden="1" x14ac:dyDescent="0.2">
      <c r="A281" s="156"/>
      <c r="B281" s="157"/>
      <c r="C281" s="157"/>
      <c r="D281" s="157"/>
      <c r="E281" s="157"/>
      <c r="F281" s="157"/>
      <c r="G281" s="157"/>
      <c r="H281" s="157"/>
      <c r="I281" s="158"/>
      <c r="J281" s="76" t="e">
        <f>INDEX(Tabla3[IMPORTE EXPRESO],MATCH(RENTABILIDAD[[#This Row],[ID VIAJE ]],Tabla3[ID VIAJE],0))</f>
        <v>#N/A</v>
      </c>
      <c r="K281" s="154" t="e">
        <f>RENTABILIDAD[[#This Row],[IMPORTE FACTURADO INT]]-RENTABILIDAD[[#This Row],[IMPORTE EXPRESOS]]</f>
        <v>#N/A</v>
      </c>
    </row>
    <row r="282" spans="1:11" hidden="1" x14ac:dyDescent="0.2">
      <c r="A282" s="156"/>
      <c r="B282" s="157"/>
      <c r="C282" s="157"/>
      <c r="D282" s="157"/>
      <c r="E282" s="157"/>
      <c r="F282" s="157"/>
      <c r="G282" s="157"/>
      <c r="H282" s="157"/>
      <c r="I282" s="158"/>
      <c r="J282" s="76" t="e">
        <f>INDEX(Tabla3[IMPORTE EXPRESO],MATCH(RENTABILIDAD[[#This Row],[ID VIAJE ]],Tabla3[ID VIAJE],0))</f>
        <v>#N/A</v>
      </c>
      <c r="K282" s="154" t="e">
        <f>RENTABILIDAD[[#This Row],[IMPORTE FACTURADO INT]]-RENTABILIDAD[[#This Row],[IMPORTE EXPRESOS]]</f>
        <v>#N/A</v>
      </c>
    </row>
    <row r="283" spans="1:11" hidden="1" x14ac:dyDescent="0.2">
      <c r="A283" s="156"/>
      <c r="B283" s="157"/>
      <c r="C283" s="157"/>
      <c r="D283" s="157"/>
      <c r="E283" s="157"/>
      <c r="F283" s="157"/>
      <c r="G283" s="157"/>
      <c r="H283" s="157"/>
      <c r="I283" s="158"/>
      <c r="J283" s="76" t="e">
        <f>INDEX(Tabla3[IMPORTE EXPRESO],MATCH(RENTABILIDAD[[#This Row],[ID VIAJE ]],Tabla3[ID VIAJE],0))</f>
        <v>#N/A</v>
      </c>
      <c r="K283" s="154" t="e">
        <f>RENTABILIDAD[[#This Row],[IMPORTE FACTURADO INT]]-RENTABILIDAD[[#This Row],[IMPORTE EXPRESOS]]</f>
        <v>#N/A</v>
      </c>
    </row>
    <row r="284" spans="1:11" hidden="1" x14ac:dyDescent="0.2">
      <c r="A284" s="156"/>
      <c r="B284" s="157"/>
      <c r="C284" s="157"/>
      <c r="D284" s="157"/>
      <c r="E284" s="157"/>
      <c r="F284" s="157"/>
      <c r="G284" s="157"/>
      <c r="H284" s="157"/>
      <c r="I284" s="158"/>
      <c r="J284" s="76" t="e">
        <f>INDEX(Tabla3[IMPORTE EXPRESO],MATCH(RENTABILIDAD[[#This Row],[ID VIAJE ]],Tabla3[ID VIAJE],0))</f>
        <v>#N/A</v>
      </c>
      <c r="K284" s="154" t="e">
        <f>RENTABILIDAD[[#This Row],[IMPORTE FACTURADO INT]]-RENTABILIDAD[[#This Row],[IMPORTE EXPRESOS]]</f>
        <v>#N/A</v>
      </c>
    </row>
    <row r="285" spans="1:11" hidden="1" x14ac:dyDescent="0.2">
      <c r="A285" s="156"/>
      <c r="B285" s="157"/>
      <c r="C285" s="157"/>
      <c r="D285" s="157"/>
      <c r="E285" s="157"/>
      <c r="F285" s="157"/>
      <c r="G285" s="157"/>
      <c r="H285" s="157"/>
      <c r="I285" s="158"/>
      <c r="J285" s="76" t="e">
        <f>INDEX(Tabla3[IMPORTE EXPRESO],MATCH(RENTABILIDAD[[#This Row],[ID VIAJE ]],Tabla3[ID VIAJE],0))</f>
        <v>#N/A</v>
      </c>
      <c r="K285" s="154" t="e">
        <f>RENTABILIDAD[[#This Row],[IMPORTE FACTURADO INT]]-RENTABILIDAD[[#This Row],[IMPORTE EXPRESOS]]</f>
        <v>#N/A</v>
      </c>
    </row>
    <row r="286" spans="1:11" hidden="1" x14ac:dyDescent="0.2">
      <c r="A286" s="156"/>
      <c r="B286" s="157"/>
      <c r="C286" s="157"/>
      <c r="D286" s="157"/>
      <c r="E286" s="157"/>
      <c r="F286" s="157"/>
      <c r="G286" s="157"/>
      <c r="H286" s="157"/>
      <c r="I286" s="158"/>
      <c r="J286" s="76" t="e">
        <f>INDEX(Tabla3[IMPORTE EXPRESO],MATCH(RENTABILIDAD[[#This Row],[ID VIAJE ]],Tabla3[ID VIAJE],0))</f>
        <v>#N/A</v>
      </c>
      <c r="K286" s="154" t="e">
        <f>RENTABILIDAD[[#This Row],[IMPORTE FACTURADO INT]]-RENTABILIDAD[[#This Row],[IMPORTE EXPRESOS]]</f>
        <v>#N/A</v>
      </c>
    </row>
    <row r="287" spans="1:11" hidden="1" x14ac:dyDescent="0.2">
      <c r="A287" s="156"/>
      <c r="B287" s="157"/>
      <c r="C287" s="157"/>
      <c r="D287" s="157"/>
      <c r="E287" s="157"/>
      <c r="F287" s="157"/>
      <c r="G287" s="157"/>
      <c r="H287" s="157"/>
      <c r="I287" s="158"/>
      <c r="J287" s="76" t="e">
        <f>INDEX(Tabla3[IMPORTE EXPRESO],MATCH(RENTABILIDAD[[#This Row],[ID VIAJE ]],Tabla3[ID VIAJE],0))</f>
        <v>#N/A</v>
      </c>
      <c r="K287" s="154" t="e">
        <f>RENTABILIDAD[[#This Row],[IMPORTE FACTURADO INT]]-RENTABILIDAD[[#This Row],[IMPORTE EXPRESOS]]</f>
        <v>#N/A</v>
      </c>
    </row>
    <row r="288" spans="1:11" hidden="1" x14ac:dyDescent="0.2">
      <c r="A288" s="156"/>
      <c r="B288" s="157"/>
      <c r="C288" s="157"/>
      <c r="D288" s="157"/>
      <c r="E288" s="157"/>
      <c r="F288" s="157"/>
      <c r="G288" s="157"/>
      <c r="H288" s="157"/>
      <c r="I288" s="158"/>
      <c r="J288" s="76" t="e">
        <f>INDEX(Tabla3[IMPORTE EXPRESO],MATCH(RENTABILIDAD[[#This Row],[ID VIAJE ]],Tabla3[ID VIAJE],0))</f>
        <v>#N/A</v>
      </c>
      <c r="K288" s="154" t="e">
        <f>RENTABILIDAD[[#This Row],[IMPORTE FACTURADO INT]]-RENTABILIDAD[[#This Row],[IMPORTE EXPRESOS]]</f>
        <v>#N/A</v>
      </c>
    </row>
    <row r="289" spans="1:11" hidden="1" x14ac:dyDescent="0.2">
      <c r="A289" s="156"/>
      <c r="B289" s="157"/>
      <c r="C289" s="157"/>
      <c r="D289" s="157"/>
      <c r="E289" s="157"/>
      <c r="F289" s="157"/>
      <c r="G289" s="157"/>
      <c r="H289" s="157"/>
      <c r="I289" s="158"/>
      <c r="J289" s="76" t="e">
        <f>INDEX(Tabla3[IMPORTE EXPRESO],MATCH(RENTABILIDAD[[#This Row],[ID VIAJE ]],Tabla3[ID VIAJE],0))</f>
        <v>#N/A</v>
      </c>
      <c r="K289" s="154" t="e">
        <f>RENTABILIDAD[[#This Row],[IMPORTE FACTURADO INT]]-RENTABILIDAD[[#This Row],[IMPORTE EXPRESOS]]</f>
        <v>#N/A</v>
      </c>
    </row>
    <row r="290" spans="1:11" hidden="1" x14ac:dyDescent="0.2">
      <c r="A290" s="156"/>
      <c r="B290" s="157"/>
      <c r="C290" s="157"/>
      <c r="D290" s="157"/>
      <c r="E290" s="157"/>
      <c r="F290" s="157"/>
      <c r="G290" s="157"/>
      <c r="H290" s="157"/>
      <c r="I290" s="158"/>
      <c r="J290" s="76" t="e">
        <f>INDEX(Tabla3[IMPORTE EXPRESO],MATCH(RENTABILIDAD[[#This Row],[ID VIAJE ]],Tabla3[ID VIAJE],0))</f>
        <v>#N/A</v>
      </c>
      <c r="K290" s="154" t="e">
        <f>RENTABILIDAD[[#This Row],[IMPORTE FACTURADO INT]]-RENTABILIDAD[[#This Row],[IMPORTE EXPRESOS]]</f>
        <v>#N/A</v>
      </c>
    </row>
    <row r="291" spans="1:11" hidden="1" x14ac:dyDescent="0.2">
      <c r="A291" s="156"/>
      <c r="B291" s="157"/>
      <c r="C291" s="157"/>
      <c r="D291" s="157"/>
      <c r="E291" s="157"/>
      <c r="F291" s="157"/>
      <c r="G291" s="157"/>
      <c r="H291" s="157"/>
      <c r="I291" s="158"/>
      <c r="J291" s="76" t="e">
        <f>INDEX(Tabla3[IMPORTE EXPRESO],MATCH(RENTABILIDAD[[#This Row],[ID VIAJE ]],Tabla3[ID VIAJE],0))</f>
        <v>#N/A</v>
      </c>
      <c r="K291" s="154" t="e">
        <f>RENTABILIDAD[[#This Row],[IMPORTE FACTURADO INT]]-RENTABILIDAD[[#This Row],[IMPORTE EXPRESOS]]</f>
        <v>#N/A</v>
      </c>
    </row>
    <row r="292" spans="1:11" hidden="1" x14ac:dyDescent="0.2">
      <c r="A292" s="156"/>
      <c r="B292" s="157"/>
      <c r="C292" s="157"/>
      <c r="D292" s="157"/>
      <c r="E292" s="157"/>
      <c r="F292" s="157"/>
      <c r="G292" s="157"/>
      <c r="H292" s="157"/>
      <c r="I292" s="158"/>
      <c r="J292" s="76" t="e">
        <f>INDEX(Tabla3[IMPORTE EXPRESO],MATCH(RENTABILIDAD[[#This Row],[ID VIAJE ]],Tabla3[ID VIAJE],0))</f>
        <v>#N/A</v>
      </c>
      <c r="K292" s="154" t="e">
        <f>RENTABILIDAD[[#This Row],[IMPORTE FACTURADO INT]]-RENTABILIDAD[[#This Row],[IMPORTE EXPRESOS]]</f>
        <v>#N/A</v>
      </c>
    </row>
    <row r="293" spans="1:11" hidden="1" x14ac:dyDescent="0.2">
      <c r="A293" s="156"/>
      <c r="B293" s="157"/>
      <c r="C293" s="157"/>
      <c r="D293" s="157"/>
      <c r="E293" s="157"/>
      <c r="F293" s="157"/>
      <c r="G293" s="157"/>
      <c r="H293" s="157"/>
      <c r="I293" s="158"/>
      <c r="J293" s="76" t="e">
        <f>INDEX(Tabla3[IMPORTE EXPRESO],MATCH(RENTABILIDAD[[#This Row],[ID VIAJE ]],Tabla3[ID VIAJE],0))</f>
        <v>#N/A</v>
      </c>
      <c r="K293" s="154" t="e">
        <f>RENTABILIDAD[[#This Row],[IMPORTE FACTURADO INT]]-RENTABILIDAD[[#This Row],[IMPORTE EXPRESOS]]</f>
        <v>#N/A</v>
      </c>
    </row>
    <row r="294" spans="1:11" hidden="1" x14ac:dyDescent="0.2">
      <c r="A294" s="156"/>
      <c r="B294" s="157"/>
      <c r="C294" s="157"/>
      <c r="D294" s="157"/>
      <c r="E294" s="157"/>
      <c r="F294" s="157"/>
      <c r="G294" s="157"/>
      <c r="H294" s="157"/>
      <c r="I294" s="158"/>
      <c r="J294" s="76" t="e">
        <f>INDEX(Tabla3[IMPORTE EXPRESO],MATCH(RENTABILIDAD[[#This Row],[ID VIAJE ]],Tabla3[ID VIAJE],0))</f>
        <v>#N/A</v>
      </c>
      <c r="K294" s="154" t="e">
        <f>RENTABILIDAD[[#This Row],[IMPORTE FACTURADO INT]]-RENTABILIDAD[[#This Row],[IMPORTE EXPRESOS]]</f>
        <v>#N/A</v>
      </c>
    </row>
    <row r="295" spans="1:11" hidden="1" x14ac:dyDescent="0.2">
      <c r="A295" s="156"/>
      <c r="B295" s="157"/>
      <c r="C295" s="157"/>
      <c r="D295" s="157"/>
      <c r="E295" s="157"/>
      <c r="F295" s="157"/>
      <c r="G295" s="157"/>
      <c r="H295" s="157"/>
      <c r="I295" s="158"/>
      <c r="J295" s="76" t="e">
        <f>INDEX(Tabla3[IMPORTE EXPRESO],MATCH(RENTABILIDAD[[#This Row],[ID VIAJE ]],Tabla3[ID VIAJE],0))</f>
        <v>#N/A</v>
      </c>
      <c r="K295" s="154" t="e">
        <f>RENTABILIDAD[[#This Row],[IMPORTE FACTURADO INT]]-RENTABILIDAD[[#This Row],[IMPORTE EXPRESOS]]</f>
        <v>#N/A</v>
      </c>
    </row>
    <row r="296" spans="1:11" hidden="1" x14ac:dyDescent="0.2">
      <c r="A296" s="156"/>
      <c r="B296" s="157"/>
      <c r="C296" s="157"/>
      <c r="D296" s="157"/>
      <c r="E296" s="157"/>
      <c r="F296" s="157"/>
      <c r="G296" s="157"/>
      <c r="H296" s="157"/>
      <c r="I296" s="158"/>
      <c r="J296" s="76" t="e">
        <f>INDEX(Tabla3[IMPORTE EXPRESO],MATCH(RENTABILIDAD[[#This Row],[ID VIAJE ]],Tabla3[ID VIAJE],0))</f>
        <v>#N/A</v>
      </c>
      <c r="K296" s="154" t="e">
        <f>RENTABILIDAD[[#This Row],[IMPORTE FACTURADO INT]]-RENTABILIDAD[[#This Row],[IMPORTE EXPRESOS]]</f>
        <v>#N/A</v>
      </c>
    </row>
    <row r="297" spans="1:11" hidden="1" x14ac:dyDescent="0.2">
      <c r="A297" s="156"/>
      <c r="B297" s="157"/>
      <c r="C297" s="157"/>
      <c r="D297" s="157"/>
      <c r="E297" s="157"/>
      <c r="F297" s="157"/>
      <c r="G297" s="157"/>
      <c r="H297" s="157"/>
      <c r="I297" s="158"/>
      <c r="J297" s="76" t="e">
        <f>INDEX(Tabla3[IMPORTE EXPRESO],MATCH(RENTABILIDAD[[#This Row],[ID VIAJE ]],Tabla3[ID VIAJE],0))</f>
        <v>#N/A</v>
      </c>
      <c r="K297" s="154" t="e">
        <f>RENTABILIDAD[[#This Row],[IMPORTE FACTURADO INT]]-RENTABILIDAD[[#This Row],[IMPORTE EXPRESOS]]</f>
        <v>#N/A</v>
      </c>
    </row>
    <row r="298" spans="1:11" hidden="1" x14ac:dyDescent="0.2">
      <c r="A298" s="156"/>
      <c r="B298" s="157"/>
      <c r="C298" s="157"/>
      <c r="D298" s="157"/>
      <c r="E298" s="157"/>
      <c r="F298" s="157"/>
      <c r="G298" s="157"/>
      <c r="H298" s="157"/>
      <c r="I298" s="158"/>
      <c r="J298" s="76" t="e">
        <f>INDEX(Tabla3[IMPORTE EXPRESO],MATCH(RENTABILIDAD[[#This Row],[ID VIAJE ]],Tabla3[ID VIAJE],0))</f>
        <v>#N/A</v>
      </c>
      <c r="K298" s="154" t="e">
        <f>RENTABILIDAD[[#This Row],[IMPORTE FACTURADO INT]]-RENTABILIDAD[[#This Row],[IMPORTE EXPRESOS]]</f>
        <v>#N/A</v>
      </c>
    </row>
    <row r="299" spans="1:11" hidden="1" x14ac:dyDescent="0.2">
      <c r="A299" s="156"/>
      <c r="B299" s="157"/>
      <c r="C299" s="157"/>
      <c r="D299" s="157"/>
      <c r="E299" s="157"/>
      <c r="F299" s="157"/>
      <c r="G299" s="157"/>
      <c r="H299" s="157"/>
      <c r="I299" s="158"/>
      <c r="J299" s="76" t="e">
        <f>INDEX(Tabla3[IMPORTE EXPRESO],MATCH(RENTABILIDAD[[#This Row],[ID VIAJE ]],Tabla3[ID VIAJE],0))</f>
        <v>#N/A</v>
      </c>
      <c r="K299" s="154" t="e">
        <f>RENTABILIDAD[[#This Row],[IMPORTE FACTURADO INT]]-RENTABILIDAD[[#This Row],[IMPORTE EXPRESOS]]</f>
        <v>#N/A</v>
      </c>
    </row>
    <row r="300" spans="1:11" hidden="1" x14ac:dyDescent="0.2">
      <c r="A300" s="156"/>
      <c r="B300" s="157"/>
      <c r="C300" s="157"/>
      <c r="D300" s="157"/>
      <c r="E300" s="157"/>
      <c r="F300" s="157"/>
      <c r="G300" s="157"/>
      <c r="H300" s="157"/>
      <c r="I300" s="158"/>
      <c r="J300" s="76" t="e">
        <f>INDEX(Tabla3[IMPORTE EXPRESO],MATCH(RENTABILIDAD[[#This Row],[ID VIAJE ]],Tabla3[ID VIAJE],0))</f>
        <v>#N/A</v>
      </c>
      <c r="K300" s="154" t="e">
        <f>RENTABILIDAD[[#This Row],[IMPORTE FACTURADO INT]]-RENTABILIDAD[[#This Row],[IMPORTE EXPRESOS]]</f>
        <v>#N/A</v>
      </c>
    </row>
    <row r="301" spans="1:11" hidden="1" x14ac:dyDescent="0.2">
      <c r="A301" s="156"/>
      <c r="B301" s="157"/>
      <c r="C301" s="157"/>
      <c r="D301" s="157"/>
      <c r="E301" s="157"/>
      <c r="F301" s="157"/>
      <c r="G301" s="157"/>
      <c r="H301" s="157"/>
      <c r="I301" s="158"/>
      <c r="J301" s="76" t="e">
        <f>INDEX(Tabla3[IMPORTE EXPRESO],MATCH(RENTABILIDAD[[#This Row],[ID VIAJE ]],Tabla3[ID VIAJE],0))</f>
        <v>#N/A</v>
      </c>
      <c r="K301" s="154" t="e">
        <f>RENTABILIDAD[[#This Row],[IMPORTE FACTURADO INT]]-RENTABILIDAD[[#This Row],[IMPORTE EXPRESOS]]</f>
        <v>#N/A</v>
      </c>
    </row>
    <row r="302" spans="1:11" hidden="1" x14ac:dyDescent="0.2">
      <c r="A302" s="156"/>
      <c r="B302" s="157"/>
      <c r="C302" s="157"/>
      <c r="D302" s="157"/>
      <c r="E302" s="157"/>
      <c r="F302" s="157"/>
      <c r="G302" s="157"/>
      <c r="H302" s="157"/>
      <c r="I302" s="158"/>
      <c r="J302" s="76" t="e">
        <f>INDEX(Tabla3[IMPORTE EXPRESO],MATCH(RENTABILIDAD[[#This Row],[ID VIAJE ]],Tabla3[ID VIAJE],0))</f>
        <v>#N/A</v>
      </c>
      <c r="K302" s="154" t="e">
        <f>RENTABILIDAD[[#This Row],[IMPORTE FACTURADO INT]]-RENTABILIDAD[[#This Row],[IMPORTE EXPRESOS]]</f>
        <v>#N/A</v>
      </c>
    </row>
    <row r="303" spans="1:11" hidden="1" x14ac:dyDescent="0.2">
      <c r="A303" s="156"/>
      <c r="B303" s="157"/>
      <c r="C303" s="157"/>
      <c r="D303" s="157"/>
      <c r="E303" s="157"/>
      <c r="F303" s="157"/>
      <c r="G303" s="157"/>
      <c r="H303" s="157"/>
      <c r="I303" s="158"/>
      <c r="J303" s="76" t="e">
        <f>INDEX(Tabla3[IMPORTE EXPRESO],MATCH(RENTABILIDAD[[#This Row],[ID VIAJE ]],Tabla3[ID VIAJE],0))</f>
        <v>#N/A</v>
      </c>
      <c r="K303" s="154" t="e">
        <f>RENTABILIDAD[[#This Row],[IMPORTE FACTURADO INT]]-RENTABILIDAD[[#This Row],[IMPORTE EXPRESOS]]</f>
        <v>#N/A</v>
      </c>
    </row>
    <row r="304" spans="1:11" hidden="1" x14ac:dyDescent="0.2">
      <c r="A304" s="156"/>
      <c r="B304" s="157"/>
      <c r="C304" s="157"/>
      <c r="D304" s="157"/>
      <c r="E304" s="157"/>
      <c r="F304" s="157"/>
      <c r="G304" s="157"/>
      <c r="H304" s="157"/>
      <c r="I304" s="158"/>
      <c r="J304" s="76" t="e">
        <f>INDEX(Tabla3[IMPORTE EXPRESO],MATCH(RENTABILIDAD[[#This Row],[ID VIAJE ]],Tabla3[ID VIAJE],0))</f>
        <v>#N/A</v>
      </c>
      <c r="K304" s="154" t="e">
        <f>RENTABILIDAD[[#This Row],[IMPORTE FACTURADO INT]]-RENTABILIDAD[[#This Row],[IMPORTE EXPRESOS]]</f>
        <v>#N/A</v>
      </c>
    </row>
    <row r="305" spans="1:11" hidden="1" x14ac:dyDescent="0.2">
      <c r="A305" s="156"/>
      <c r="B305" s="157"/>
      <c r="C305" s="157"/>
      <c r="D305" s="157"/>
      <c r="E305" s="157"/>
      <c r="F305" s="157"/>
      <c r="G305" s="157"/>
      <c r="H305" s="157"/>
      <c r="I305" s="158"/>
      <c r="J305" s="76" t="e">
        <f>INDEX(Tabla3[IMPORTE EXPRESO],MATCH(RENTABILIDAD[[#This Row],[ID VIAJE ]],Tabla3[ID VIAJE],0))</f>
        <v>#N/A</v>
      </c>
      <c r="K305" s="154" t="e">
        <f>RENTABILIDAD[[#This Row],[IMPORTE FACTURADO INT]]-RENTABILIDAD[[#This Row],[IMPORTE EXPRESOS]]</f>
        <v>#N/A</v>
      </c>
    </row>
    <row r="306" spans="1:11" hidden="1" x14ac:dyDescent="0.2">
      <c r="A306" s="156"/>
      <c r="B306" s="157"/>
      <c r="C306" s="157"/>
      <c r="D306" s="157"/>
      <c r="E306" s="157"/>
      <c r="F306" s="157"/>
      <c r="G306" s="157"/>
      <c r="H306" s="157"/>
      <c r="I306" s="158"/>
      <c r="J306" s="76" t="e">
        <f>INDEX(Tabla3[IMPORTE EXPRESO],MATCH(RENTABILIDAD[[#This Row],[ID VIAJE ]],Tabla3[ID VIAJE],0))</f>
        <v>#N/A</v>
      </c>
      <c r="K306" s="154" t="e">
        <f>RENTABILIDAD[[#This Row],[IMPORTE FACTURADO INT]]-RENTABILIDAD[[#This Row],[IMPORTE EXPRESOS]]</f>
        <v>#N/A</v>
      </c>
    </row>
    <row r="307" spans="1:11" hidden="1" x14ac:dyDescent="0.2">
      <c r="A307" s="156"/>
      <c r="B307" s="157"/>
      <c r="C307" s="157"/>
      <c r="D307" s="157"/>
      <c r="E307" s="157"/>
      <c r="F307" s="157"/>
      <c r="G307" s="157"/>
      <c r="H307" s="157"/>
      <c r="I307" s="158"/>
      <c r="J307" s="76" t="e">
        <f>INDEX(Tabla3[IMPORTE EXPRESO],MATCH(RENTABILIDAD[[#This Row],[ID VIAJE ]],Tabla3[ID VIAJE],0))</f>
        <v>#N/A</v>
      </c>
      <c r="K307" s="154" t="e">
        <f>RENTABILIDAD[[#This Row],[IMPORTE FACTURADO INT]]-RENTABILIDAD[[#This Row],[IMPORTE EXPRESOS]]</f>
        <v>#N/A</v>
      </c>
    </row>
    <row r="308" spans="1:11" hidden="1" x14ac:dyDescent="0.2">
      <c r="A308" s="156"/>
      <c r="B308" s="157"/>
      <c r="C308" s="157"/>
      <c r="D308" s="157"/>
      <c r="E308" s="157"/>
      <c r="F308" s="157"/>
      <c r="G308" s="157"/>
      <c r="H308" s="157"/>
      <c r="I308" s="158"/>
      <c r="J308" s="76" t="e">
        <f>INDEX(Tabla3[IMPORTE EXPRESO],MATCH(RENTABILIDAD[[#This Row],[ID VIAJE ]],Tabla3[ID VIAJE],0))</f>
        <v>#N/A</v>
      </c>
      <c r="K308" s="154" t="e">
        <f>RENTABILIDAD[[#This Row],[IMPORTE FACTURADO INT]]-RENTABILIDAD[[#This Row],[IMPORTE EXPRESOS]]</f>
        <v>#N/A</v>
      </c>
    </row>
    <row r="309" spans="1:11" hidden="1" x14ac:dyDescent="0.2">
      <c r="A309" s="156"/>
      <c r="B309" s="157"/>
      <c r="C309" s="157"/>
      <c r="D309" s="157"/>
      <c r="E309" s="157"/>
      <c r="F309" s="157"/>
      <c r="G309" s="157"/>
      <c r="H309" s="157"/>
      <c r="I309" s="158"/>
      <c r="J309" s="76" t="e">
        <f>INDEX(Tabla3[IMPORTE EXPRESO],MATCH(RENTABILIDAD[[#This Row],[ID VIAJE ]],Tabla3[ID VIAJE],0))</f>
        <v>#N/A</v>
      </c>
      <c r="K309" s="154" t="e">
        <f>RENTABILIDAD[[#This Row],[IMPORTE FACTURADO INT]]-RENTABILIDAD[[#This Row],[IMPORTE EXPRESOS]]</f>
        <v>#N/A</v>
      </c>
    </row>
    <row r="310" spans="1:11" hidden="1" x14ac:dyDescent="0.2">
      <c r="A310" s="156"/>
      <c r="B310" s="157"/>
      <c r="C310" s="157"/>
      <c r="D310" s="157"/>
      <c r="E310" s="157"/>
      <c r="F310" s="157"/>
      <c r="G310" s="157"/>
      <c r="H310" s="157"/>
      <c r="I310" s="158"/>
      <c r="J310" s="76" t="e">
        <f>INDEX(Tabla3[IMPORTE EXPRESO],MATCH(RENTABILIDAD[[#This Row],[ID VIAJE ]],Tabla3[ID VIAJE],0))</f>
        <v>#N/A</v>
      </c>
      <c r="K310" s="154" t="e">
        <f>RENTABILIDAD[[#This Row],[IMPORTE FACTURADO INT]]-RENTABILIDAD[[#This Row],[IMPORTE EXPRESOS]]</f>
        <v>#N/A</v>
      </c>
    </row>
    <row r="311" spans="1:11" hidden="1" x14ac:dyDescent="0.2">
      <c r="A311" s="156"/>
      <c r="B311" s="157"/>
      <c r="C311" s="157"/>
      <c r="D311" s="157"/>
      <c r="E311" s="157"/>
      <c r="F311" s="157"/>
      <c r="G311" s="157"/>
      <c r="H311" s="157"/>
      <c r="I311" s="158"/>
      <c r="J311" s="76" t="e">
        <f>INDEX(Tabla3[IMPORTE EXPRESO],MATCH(RENTABILIDAD[[#This Row],[ID VIAJE ]],Tabla3[ID VIAJE],0))</f>
        <v>#N/A</v>
      </c>
      <c r="K311" s="154" t="e">
        <f>RENTABILIDAD[[#This Row],[IMPORTE FACTURADO INT]]-RENTABILIDAD[[#This Row],[IMPORTE EXPRESOS]]</f>
        <v>#N/A</v>
      </c>
    </row>
    <row r="312" spans="1:11" hidden="1" x14ac:dyDescent="0.2">
      <c r="A312" s="156"/>
      <c r="B312" s="157"/>
      <c r="C312" s="157"/>
      <c r="D312" s="157"/>
      <c r="E312" s="157"/>
      <c r="F312" s="157"/>
      <c r="G312" s="157"/>
      <c r="H312" s="157"/>
      <c r="I312" s="158"/>
      <c r="J312" s="76" t="e">
        <f>INDEX(Tabla3[IMPORTE EXPRESO],MATCH(RENTABILIDAD[[#This Row],[ID VIAJE ]],Tabla3[ID VIAJE],0))</f>
        <v>#N/A</v>
      </c>
      <c r="K312" s="154" t="e">
        <f>RENTABILIDAD[[#This Row],[IMPORTE FACTURADO INT]]-RENTABILIDAD[[#This Row],[IMPORTE EXPRESOS]]</f>
        <v>#N/A</v>
      </c>
    </row>
    <row r="313" spans="1:11" hidden="1" x14ac:dyDescent="0.2">
      <c r="A313" s="156"/>
      <c r="B313" s="157"/>
      <c r="C313" s="157"/>
      <c r="D313" s="157"/>
      <c r="E313" s="157"/>
      <c r="F313" s="157"/>
      <c r="G313" s="157"/>
      <c r="H313" s="157"/>
      <c r="I313" s="158"/>
      <c r="J313" s="76" t="e">
        <f>INDEX(Tabla3[IMPORTE EXPRESO],MATCH(RENTABILIDAD[[#This Row],[ID VIAJE ]],Tabla3[ID VIAJE],0))</f>
        <v>#N/A</v>
      </c>
      <c r="K313" s="154" t="e">
        <f>RENTABILIDAD[[#This Row],[IMPORTE FACTURADO INT]]-RENTABILIDAD[[#This Row],[IMPORTE EXPRESOS]]</f>
        <v>#N/A</v>
      </c>
    </row>
    <row r="314" spans="1:11" hidden="1" x14ac:dyDescent="0.2">
      <c r="A314" s="156"/>
      <c r="B314" s="157"/>
      <c r="C314" s="157"/>
      <c r="D314" s="157"/>
      <c r="E314" s="157"/>
      <c r="F314" s="157"/>
      <c r="G314" s="157"/>
      <c r="H314" s="157"/>
      <c r="I314" s="158"/>
      <c r="J314" s="76" t="e">
        <f>INDEX(Tabla3[IMPORTE EXPRESO],MATCH(RENTABILIDAD[[#This Row],[ID VIAJE ]],Tabla3[ID VIAJE],0))</f>
        <v>#N/A</v>
      </c>
      <c r="K314" s="154" t="e">
        <f>RENTABILIDAD[[#This Row],[IMPORTE FACTURADO INT]]-RENTABILIDAD[[#This Row],[IMPORTE EXPRESOS]]</f>
        <v>#N/A</v>
      </c>
    </row>
    <row r="315" spans="1:11" hidden="1" x14ac:dyDescent="0.2">
      <c r="A315" s="156"/>
      <c r="B315" s="157"/>
      <c r="C315" s="157"/>
      <c r="D315" s="157"/>
      <c r="E315" s="157"/>
      <c r="F315" s="157"/>
      <c r="G315" s="157"/>
      <c r="H315" s="157"/>
      <c r="I315" s="158"/>
      <c r="J315" s="76" t="e">
        <f>INDEX(Tabla3[IMPORTE EXPRESO],MATCH(RENTABILIDAD[[#This Row],[ID VIAJE ]],Tabla3[ID VIAJE],0))</f>
        <v>#N/A</v>
      </c>
      <c r="K315" s="154" t="e">
        <f>RENTABILIDAD[[#This Row],[IMPORTE FACTURADO INT]]-RENTABILIDAD[[#This Row],[IMPORTE EXPRESOS]]</f>
        <v>#N/A</v>
      </c>
    </row>
    <row r="316" spans="1:11" hidden="1" x14ac:dyDescent="0.2">
      <c r="A316" s="156"/>
      <c r="B316" s="157"/>
      <c r="C316" s="157"/>
      <c r="D316" s="157"/>
      <c r="E316" s="157"/>
      <c r="F316" s="157"/>
      <c r="G316" s="157"/>
      <c r="H316" s="157"/>
      <c r="I316" s="158"/>
      <c r="J316" s="76" t="e">
        <f>INDEX(Tabla3[IMPORTE EXPRESO],MATCH(RENTABILIDAD[[#This Row],[ID VIAJE ]],Tabla3[ID VIAJE],0))</f>
        <v>#N/A</v>
      </c>
      <c r="K316" s="154" t="e">
        <f>RENTABILIDAD[[#This Row],[IMPORTE FACTURADO INT]]-RENTABILIDAD[[#This Row],[IMPORTE EXPRESOS]]</f>
        <v>#N/A</v>
      </c>
    </row>
    <row r="317" spans="1:11" hidden="1" x14ac:dyDescent="0.2">
      <c r="A317" s="156"/>
      <c r="B317" s="157"/>
      <c r="C317" s="157"/>
      <c r="D317" s="157"/>
      <c r="E317" s="157"/>
      <c r="F317" s="157"/>
      <c r="G317" s="157"/>
      <c r="H317" s="157"/>
      <c r="I317" s="158"/>
      <c r="J317" s="76" t="e">
        <f>INDEX(Tabla3[IMPORTE EXPRESO],MATCH(RENTABILIDAD[[#This Row],[ID VIAJE ]],Tabla3[ID VIAJE],0))</f>
        <v>#N/A</v>
      </c>
      <c r="K317" s="154" t="e">
        <f>RENTABILIDAD[[#This Row],[IMPORTE FACTURADO INT]]-RENTABILIDAD[[#This Row],[IMPORTE EXPRESOS]]</f>
        <v>#N/A</v>
      </c>
    </row>
    <row r="318" spans="1:11" hidden="1" x14ac:dyDescent="0.2">
      <c r="A318" s="156"/>
      <c r="B318" s="157"/>
      <c r="C318" s="157"/>
      <c r="D318" s="157"/>
      <c r="E318" s="157"/>
      <c r="F318" s="157"/>
      <c r="G318" s="157"/>
      <c r="H318" s="157"/>
      <c r="I318" s="158"/>
      <c r="J318" s="76" t="e">
        <f>INDEX(Tabla3[IMPORTE EXPRESO],MATCH(RENTABILIDAD[[#This Row],[ID VIAJE ]],Tabla3[ID VIAJE],0))</f>
        <v>#N/A</v>
      </c>
      <c r="K318" s="154" t="e">
        <f>RENTABILIDAD[[#This Row],[IMPORTE FACTURADO INT]]-RENTABILIDAD[[#This Row],[IMPORTE EXPRESOS]]</f>
        <v>#N/A</v>
      </c>
    </row>
    <row r="319" spans="1:11" hidden="1" x14ac:dyDescent="0.2">
      <c r="A319" s="156"/>
      <c r="B319" s="157"/>
      <c r="C319" s="157"/>
      <c r="D319" s="157"/>
      <c r="E319" s="157"/>
      <c r="F319" s="157"/>
      <c r="G319" s="157"/>
      <c r="H319" s="157"/>
      <c r="I319" s="158"/>
      <c r="J319" s="76" t="e">
        <f>INDEX(Tabla3[IMPORTE EXPRESO],MATCH(RENTABILIDAD[[#This Row],[ID VIAJE ]],Tabla3[ID VIAJE],0))</f>
        <v>#N/A</v>
      </c>
      <c r="K319" s="154" t="e">
        <f>RENTABILIDAD[[#This Row],[IMPORTE FACTURADO INT]]-RENTABILIDAD[[#This Row],[IMPORTE EXPRESOS]]</f>
        <v>#N/A</v>
      </c>
    </row>
    <row r="320" spans="1:11" hidden="1" x14ac:dyDescent="0.2">
      <c r="A320" s="156"/>
      <c r="B320" s="157"/>
      <c r="C320" s="157"/>
      <c r="D320" s="157"/>
      <c r="E320" s="157"/>
      <c r="F320" s="157"/>
      <c r="G320" s="157"/>
      <c r="H320" s="157"/>
      <c r="I320" s="158"/>
      <c r="J320" s="76" t="e">
        <f>INDEX(Tabla3[IMPORTE EXPRESO],MATCH(RENTABILIDAD[[#This Row],[ID VIAJE ]],Tabla3[ID VIAJE],0))</f>
        <v>#N/A</v>
      </c>
      <c r="K320" s="154" t="e">
        <f>RENTABILIDAD[[#This Row],[IMPORTE FACTURADO INT]]-RENTABILIDAD[[#This Row],[IMPORTE EXPRESOS]]</f>
        <v>#N/A</v>
      </c>
    </row>
    <row r="321" spans="1:11" hidden="1" x14ac:dyDescent="0.2">
      <c r="A321" s="156"/>
      <c r="B321" s="157"/>
      <c r="C321" s="157"/>
      <c r="D321" s="157"/>
      <c r="E321" s="157"/>
      <c r="F321" s="157"/>
      <c r="G321" s="157"/>
      <c r="H321" s="157"/>
      <c r="I321" s="158"/>
      <c r="J321" s="76" t="e">
        <f>INDEX(Tabla3[IMPORTE EXPRESO],MATCH(RENTABILIDAD[[#This Row],[ID VIAJE ]],Tabla3[ID VIAJE],0))</f>
        <v>#N/A</v>
      </c>
      <c r="K321" s="154" t="e">
        <f>RENTABILIDAD[[#This Row],[IMPORTE FACTURADO INT]]-RENTABILIDAD[[#This Row],[IMPORTE EXPRESOS]]</f>
        <v>#N/A</v>
      </c>
    </row>
    <row r="322" spans="1:11" hidden="1" x14ac:dyDescent="0.2">
      <c r="A322" s="156"/>
      <c r="B322" s="157"/>
      <c r="C322" s="157"/>
      <c r="D322" s="157"/>
      <c r="E322" s="157"/>
      <c r="F322" s="157"/>
      <c r="G322" s="157"/>
      <c r="H322" s="157"/>
      <c r="I322" s="158"/>
      <c r="J322" s="76" t="e">
        <f>INDEX(Tabla3[IMPORTE EXPRESO],MATCH(RENTABILIDAD[[#This Row],[ID VIAJE ]],Tabla3[ID VIAJE],0))</f>
        <v>#N/A</v>
      </c>
      <c r="K322" s="154" t="e">
        <f>RENTABILIDAD[[#This Row],[IMPORTE FACTURADO INT]]-RENTABILIDAD[[#This Row],[IMPORTE EXPRESOS]]</f>
        <v>#N/A</v>
      </c>
    </row>
    <row r="323" spans="1:11" hidden="1" x14ac:dyDescent="0.2">
      <c r="A323" s="156"/>
      <c r="B323" s="157"/>
      <c r="C323" s="157"/>
      <c r="D323" s="157"/>
      <c r="E323" s="157"/>
      <c r="F323" s="157"/>
      <c r="G323" s="157"/>
      <c r="H323" s="157"/>
      <c r="I323" s="158"/>
      <c r="J323" s="76" t="e">
        <f>INDEX(Tabla3[IMPORTE EXPRESO],MATCH(RENTABILIDAD[[#This Row],[ID VIAJE ]],Tabla3[ID VIAJE],0))</f>
        <v>#N/A</v>
      </c>
      <c r="K323" s="154" t="e">
        <f>RENTABILIDAD[[#This Row],[IMPORTE FACTURADO INT]]-RENTABILIDAD[[#This Row],[IMPORTE EXPRESOS]]</f>
        <v>#N/A</v>
      </c>
    </row>
    <row r="324" spans="1:11" hidden="1" x14ac:dyDescent="0.2">
      <c r="A324" s="156"/>
      <c r="B324" s="157"/>
      <c r="C324" s="157"/>
      <c r="D324" s="157"/>
      <c r="E324" s="157"/>
      <c r="F324" s="157"/>
      <c r="G324" s="157"/>
      <c r="H324" s="157"/>
      <c r="I324" s="158"/>
      <c r="J324" s="76" t="e">
        <f>INDEX(Tabla3[IMPORTE EXPRESO],MATCH(RENTABILIDAD[[#This Row],[ID VIAJE ]],Tabla3[ID VIAJE],0))</f>
        <v>#N/A</v>
      </c>
      <c r="K324" s="154" t="e">
        <f>RENTABILIDAD[[#This Row],[IMPORTE FACTURADO INT]]-RENTABILIDAD[[#This Row],[IMPORTE EXPRESOS]]</f>
        <v>#N/A</v>
      </c>
    </row>
    <row r="325" spans="1:11" hidden="1" x14ac:dyDescent="0.2">
      <c r="A325" s="156"/>
      <c r="B325" s="157"/>
      <c r="C325" s="157"/>
      <c r="D325" s="157"/>
      <c r="E325" s="157"/>
      <c r="F325" s="157"/>
      <c r="G325" s="157"/>
      <c r="H325" s="157"/>
      <c r="I325" s="158"/>
      <c r="J325" s="76" t="e">
        <f>INDEX(Tabla3[IMPORTE EXPRESO],MATCH(RENTABILIDAD[[#This Row],[ID VIAJE ]],Tabla3[ID VIAJE],0))</f>
        <v>#N/A</v>
      </c>
      <c r="K325" s="154" t="e">
        <f>RENTABILIDAD[[#This Row],[IMPORTE FACTURADO INT]]-RENTABILIDAD[[#This Row],[IMPORTE EXPRESOS]]</f>
        <v>#N/A</v>
      </c>
    </row>
    <row r="326" spans="1:11" hidden="1" x14ac:dyDescent="0.2">
      <c r="A326" s="156"/>
      <c r="B326" s="157"/>
      <c r="C326" s="157"/>
      <c r="D326" s="157"/>
      <c r="E326" s="157"/>
      <c r="F326" s="157"/>
      <c r="G326" s="157"/>
      <c r="H326" s="157"/>
      <c r="I326" s="158"/>
      <c r="J326" s="76" t="e">
        <f>INDEX(Tabla3[IMPORTE EXPRESO],MATCH(RENTABILIDAD[[#This Row],[ID VIAJE ]],Tabla3[ID VIAJE],0))</f>
        <v>#N/A</v>
      </c>
      <c r="K326" s="154" t="e">
        <f>RENTABILIDAD[[#This Row],[IMPORTE FACTURADO INT]]-RENTABILIDAD[[#This Row],[IMPORTE EXPRESOS]]</f>
        <v>#N/A</v>
      </c>
    </row>
    <row r="327" spans="1:11" hidden="1" x14ac:dyDescent="0.2">
      <c r="A327" s="156"/>
      <c r="B327" s="157"/>
      <c r="C327" s="157"/>
      <c r="D327" s="157"/>
      <c r="E327" s="157"/>
      <c r="F327" s="157"/>
      <c r="G327" s="157"/>
      <c r="H327" s="157"/>
      <c r="I327" s="158"/>
      <c r="J327" s="76" t="e">
        <f>INDEX(Tabla3[IMPORTE EXPRESO],MATCH(RENTABILIDAD[[#This Row],[ID VIAJE ]],Tabla3[ID VIAJE],0))</f>
        <v>#N/A</v>
      </c>
      <c r="K327" s="154" t="e">
        <f>RENTABILIDAD[[#This Row],[IMPORTE FACTURADO INT]]-RENTABILIDAD[[#This Row],[IMPORTE EXPRESOS]]</f>
        <v>#N/A</v>
      </c>
    </row>
    <row r="328" spans="1:11" hidden="1" x14ac:dyDescent="0.2">
      <c r="A328" s="156"/>
      <c r="B328" s="157"/>
      <c r="C328" s="157"/>
      <c r="D328" s="157"/>
      <c r="E328" s="157"/>
      <c r="F328" s="157"/>
      <c r="G328" s="157"/>
      <c r="H328" s="157"/>
      <c r="I328" s="158"/>
      <c r="J328" s="76" t="e">
        <f>INDEX(Tabla3[IMPORTE EXPRESO],MATCH(RENTABILIDAD[[#This Row],[ID VIAJE ]],Tabla3[ID VIAJE],0))</f>
        <v>#N/A</v>
      </c>
      <c r="K328" s="154" t="e">
        <f>RENTABILIDAD[[#This Row],[IMPORTE FACTURADO INT]]-RENTABILIDAD[[#This Row],[IMPORTE EXPRESOS]]</f>
        <v>#N/A</v>
      </c>
    </row>
    <row r="329" spans="1:11" hidden="1" x14ac:dyDescent="0.2">
      <c r="A329" s="156"/>
      <c r="B329" s="157"/>
      <c r="C329" s="157"/>
      <c r="D329" s="157"/>
      <c r="E329" s="157"/>
      <c r="F329" s="157"/>
      <c r="G329" s="157"/>
      <c r="H329" s="157"/>
      <c r="I329" s="158"/>
      <c r="J329" s="76" t="e">
        <f>INDEX(Tabla3[IMPORTE EXPRESO],MATCH(RENTABILIDAD[[#This Row],[ID VIAJE ]],Tabla3[ID VIAJE],0))</f>
        <v>#N/A</v>
      </c>
      <c r="K329" s="154" t="e">
        <f>RENTABILIDAD[[#This Row],[IMPORTE FACTURADO INT]]-RENTABILIDAD[[#This Row],[IMPORTE EXPRESOS]]</f>
        <v>#N/A</v>
      </c>
    </row>
    <row r="330" spans="1:11" hidden="1" x14ac:dyDescent="0.2">
      <c r="A330" s="156"/>
      <c r="B330" s="157"/>
      <c r="C330" s="157"/>
      <c r="D330" s="157"/>
      <c r="E330" s="157"/>
      <c r="F330" s="157"/>
      <c r="G330" s="157"/>
      <c r="H330" s="157"/>
      <c r="I330" s="158"/>
      <c r="J330" s="76" t="e">
        <f>INDEX(Tabla3[IMPORTE EXPRESO],MATCH(RENTABILIDAD[[#This Row],[ID VIAJE ]],Tabla3[ID VIAJE],0))</f>
        <v>#N/A</v>
      </c>
      <c r="K330" s="154" t="e">
        <f>RENTABILIDAD[[#This Row],[IMPORTE FACTURADO INT]]-RENTABILIDAD[[#This Row],[IMPORTE EXPRESOS]]</f>
        <v>#N/A</v>
      </c>
    </row>
    <row r="331" spans="1:11" hidden="1" x14ac:dyDescent="0.2">
      <c r="A331" s="156"/>
      <c r="B331" s="157"/>
      <c r="C331" s="157"/>
      <c r="D331" s="157"/>
      <c r="E331" s="157"/>
      <c r="F331" s="157"/>
      <c r="G331" s="157"/>
      <c r="H331" s="157"/>
      <c r="I331" s="158"/>
      <c r="J331" s="76" t="e">
        <f>INDEX(Tabla3[IMPORTE EXPRESO],MATCH(RENTABILIDAD[[#This Row],[ID VIAJE ]],Tabla3[ID VIAJE],0))</f>
        <v>#N/A</v>
      </c>
      <c r="K331" s="154" t="e">
        <f>RENTABILIDAD[[#This Row],[IMPORTE FACTURADO INT]]-RENTABILIDAD[[#This Row],[IMPORTE EXPRESOS]]</f>
        <v>#N/A</v>
      </c>
    </row>
    <row r="332" spans="1:11" hidden="1" x14ac:dyDescent="0.2">
      <c r="A332" s="156"/>
      <c r="B332" s="157"/>
      <c r="C332" s="157"/>
      <c r="D332" s="157"/>
      <c r="E332" s="157"/>
      <c r="F332" s="157"/>
      <c r="G332" s="157"/>
      <c r="H332" s="157"/>
      <c r="I332" s="158"/>
      <c r="J332" s="76" t="e">
        <f>INDEX(Tabla3[IMPORTE EXPRESO],MATCH(RENTABILIDAD[[#This Row],[ID VIAJE ]],Tabla3[ID VIAJE],0))</f>
        <v>#N/A</v>
      </c>
      <c r="K332" s="154" t="e">
        <f>RENTABILIDAD[[#This Row],[IMPORTE FACTURADO INT]]-RENTABILIDAD[[#This Row],[IMPORTE EXPRESOS]]</f>
        <v>#N/A</v>
      </c>
    </row>
    <row r="333" spans="1:11" hidden="1" x14ac:dyDescent="0.2">
      <c r="A333" s="156"/>
      <c r="B333" s="157"/>
      <c r="C333" s="157"/>
      <c r="D333" s="157"/>
      <c r="E333" s="157"/>
      <c r="F333" s="157"/>
      <c r="G333" s="157"/>
      <c r="H333" s="157"/>
      <c r="I333" s="158"/>
      <c r="J333" s="76" t="e">
        <f>INDEX(Tabla3[IMPORTE EXPRESO],MATCH(RENTABILIDAD[[#This Row],[ID VIAJE ]],Tabla3[ID VIAJE],0))</f>
        <v>#N/A</v>
      </c>
      <c r="K333" s="154" t="e">
        <f>RENTABILIDAD[[#This Row],[IMPORTE FACTURADO INT]]-RENTABILIDAD[[#This Row],[IMPORTE EXPRESOS]]</f>
        <v>#N/A</v>
      </c>
    </row>
    <row r="334" spans="1:11" hidden="1" x14ac:dyDescent="0.2">
      <c r="A334" s="156"/>
      <c r="B334" s="157"/>
      <c r="C334" s="157"/>
      <c r="D334" s="157"/>
      <c r="E334" s="157"/>
      <c r="F334" s="157"/>
      <c r="G334" s="157"/>
      <c r="H334" s="157"/>
      <c r="I334" s="158"/>
      <c r="J334" s="76" t="e">
        <f>INDEX(Tabla3[IMPORTE EXPRESO],MATCH(RENTABILIDAD[[#This Row],[ID VIAJE ]],Tabla3[ID VIAJE],0))</f>
        <v>#N/A</v>
      </c>
      <c r="K334" s="154" t="e">
        <f>RENTABILIDAD[[#This Row],[IMPORTE FACTURADO INT]]-RENTABILIDAD[[#This Row],[IMPORTE EXPRESOS]]</f>
        <v>#N/A</v>
      </c>
    </row>
    <row r="335" spans="1:11" hidden="1" x14ac:dyDescent="0.2">
      <c r="A335" s="156"/>
      <c r="B335" s="157"/>
      <c r="C335" s="157"/>
      <c r="D335" s="157"/>
      <c r="E335" s="157"/>
      <c r="F335" s="157"/>
      <c r="G335" s="157"/>
      <c r="H335" s="157"/>
      <c r="I335" s="158"/>
      <c r="J335" s="76" t="e">
        <f>INDEX(Tabla3[IMPORTE EXPRESO],MATCH(RENTABILIDAD[[#This Row],[ID VIAJE ]],Tabla3[ID VIAJE],0))</f>
        <v>#N/A</v>
      </c>
      <c r="K335" s="154" t="e">
        <f>RENTABILIDAD[[#This Row],[IMPORTE FACTURADO INT]]-RENTABILIDAD[[#This Row],[IMPORTE EXPRESOS]]</f>
        <v>#N/A</v>
      </c>
    </row>
    <row r="336" spans="1:11" hidden="1" x14ac:dyDescent="0.2">
      <c r="A336" s="156"/>
      <c r="B336" s="157"/>
      <c r="C336" s="157"/>
      <c r="D336" s="157"/>
      <c r="E336" s="157"/>
      <c r="F336" s="157"/>
      <c r="G336" s="157"/>
      <c r="H336" s="157"/>
      <c r="I336" s="158"/>
      <c r="J336" s="76" t="e">
        <f>INDEX(Tabla3[IMPORTE EXPRESO],MATCH(RENTABILIDAD[[#This Row],[ID VIAJE ]],Tabla3[ID VIAJE],0))</f>
        <v>#N/A</v>
      </c>
      <c r="K336" s="154" t="e">
        <f>RENTABILIDAD[[#This Row],[IMPORTE FACTURADO INT]]-RENTABILIDAD[[#This Row],[IMPORTE EXPRESOS]]</f>
        <v>#N/A</v>
      </c>
    </row>
    <row r="337" spans="1:11" hidden="1" x14ac:dyDescent="0.2">
      <c r="A337" s="156"/>
      <c r="B337" s="157"/>
      <c r="C337" s="157"/>
      <c r="D337" s="157"/>
      <c r="E337" s="157"/>
      <c r="F337" s="157"/>
      <c r="G337" s="157"/>
      <c r="H337" s="157"/>
      <c r="I337" s="158"/>
      <c r="J337" s="76" t="e">
        <f>INDEX(Tabla3[IMPORTE EXPRESO],MATCH(RENTABILIDAD[[#This Row],[ID VIAJE ]],Tabla3[ID VIAJE],0))</f>
        <v>#N/A</v>
      </c>
      <c r="K337" s="154" t="e">
        <f>RENTABILIDAD[[#This Row],[IMPORTE FACTURADO INT]]-RENTABILIDAD[[#This Row],[IMPORTE EXPRESOS]]</f>
        <v>#N/A</v>
      </c>
    </row>
    <row r="338" spans="1:11" hidden="1" x14ac:dyDescent="0.2">
      <c r="A338" s="156"/>
      <c r="B338" s="157"/>
      <c r="C338" s="157"/>
      <c r="D338" s="157"/>
      <c r="E338" s="157"/>
      <c r="F338" s="157"/>
      <c r="G338" s="157"/>
      <c r="H338" s="157"/>
      <c r="I338" s="158"/>
      <c r="J338" s="76" t="e">
        <f>INDEX(Tabla3[IMPORTE EXPRESO],MATCH(RENTABILIDAD[[#This Row],[ID VIAJE ]],Tabla3[ID VIAJE],0))</f>
        <v>#N/A</v>
      </c>
      <c r="K338" s="154" t="e">
        <f>RENTABILIDAD[[#This Row],[IMPORTE FACTURADO INT]]-RENTABILIDAD[[#This Row],[IMPORTE EXPRESOS]]</f>
        <v>#N/A</v>
      </c>
    </row>
    <row r="339" spans="1:11" hidden="1" x14ac:dyDescent="0.2">
      <c r="A339" s="156"/>
      <c r="B339" s="157"/>
      <c r="C339" s="157"/>
      <c r="D339" s="157"/>
      <c r="E339" s="157"/>
      <c r="F339" s="157"/>
      <c r="G339" s="157"/>
      <c r="H339" s="157"/>
      <c r="I339" s="158"/>
      <c r="J339" s="76" t="e">
        <f>INDEX(Tabla3[IMPORTE EXPRESO],MATCH(RENTABILIDAD[[#This Row],[ID VIAJE ]],Tabla3[ID VIAJE],0))</f>
        <v>#N/A</v>
      </c>
      <c r="K339" s="154" t="e">
        <f>RENTABILIDAD[[#This Row],[IMPORTE FACTURADO INT]]-RENTABILIDAD[[#This Row],[IMPORTE EXPRESOS]]</f>
        <v>#N/A</v>
      </c>
    </row>
    <row r="340" spans="1:11" hidden="1" x14ac:dyDescent="0.2">
      <c r="A340" s="156"/>
      <c r="B340" s="157"/>
      <c r="C340" s="157"/>
      <c r="D340" s="157"/>
      <c r="E340" s="157"/>
      <c r="F340" s="157"/>
      <c r="G340" s="157"/>
      <c r="H340" s="157"/>
      <c r="I340" s="158"/>
      <c r="J340" s="76" t="e">
        <f>INDEX(Tabla3[IMPORTE EXPRESO],MATCH(RENTABILIDAD[[#This Row],[ID VIAJE ]],Tabla3[ID VIAJE],0))</f>
        <v>#N/A</v>
      </c>
      <c r="K340" s="154" t="e">
        <f>RENTABILIDAD[[#This Row],[IMPORTE FACTURADO INT]]-RENTABILIDAD[[#This Row],[IMPORTE EXPRESOS]]</f>
        <v>#N/A</v>
      </c>
    </row>
    <row r="341" spans="1:11" hidden="1" x14ac:dyDescent="0.2">
      <c r="A341" s="156"/>
      <c r="B341" s="157"/>
      <c r="C341" s="157"/>
      <c r="D341" s="157"/>
      <c r="E341" s="157"/>
      <c r="F341" s="157"/>
      <c r="G341" s="157"/>
      <c r="H341" s="157"/>
      <c r="I341" s="158"/>
      <c r="J341" s="76" t="e">
        <f>INDEX(Tabla3[IMPORTE EXPRESO],MATCH(RENTABILIDAD[[#This Row],[ID VIAJE ]],Tabla3[ID VIAJE],0))</f>
        <v>#N/A</v>
      </c>
      <c r="K341" s="154" t="e">
        <f>RENTABILIDAD[[#This Row],[IMPORTE FACTURADO INT]]-RENTABILIDAD[[#This Row],[IMPORTE EXPRESOS]]</f>
        <v>#N/A</v>
      </c>
    </row>
    <row r="342" spans="1:11" hidden="1" x14ac:dyDescent="0.2">
      <c r="A342" s="156"/>
      <c r="B342" s="157"/>
      <c r="C342" s="157"/>
      <c r="D342" s="157"/>
      <c r="E342" s="157"/>
      <c r="F342" s="157"/>
      <c r="G342" s="157"/>
      <c r="H342" s="157"/>
      <c r="I342" s="158"/>
      <c r="J342" s="76" t="e">
        <f>INDEX(Tabla3[IMPORTE EXPRESO],MATCH(RENTABILIDAD[[#This Row],[ID VIAJE ]],Tabla3[ID VIAJE],0))</f>
        <v>#N/A</v>
      </c>
      <c r="K342" s="154" t="e">
        <f>RENTABILIDAD[[#This Row],[IMPORTE FACTURADO INT]]-RENTABILIDAD[[#This Row],[IMPORTE EXPRESOS]]</f>
        <v>#N/A</v>
      </c>
    </row>
    <row r="343" spans="1:11" hidden="1" x14ac:dyDescent="0.2">
      <c r="A343" s="156"/>
      <c r="B343" s="157"/>
      <c r="C343" s="157"/>
      <c r="D343" s="157"/>
      <c r="E343" s="157"/>
      <c r="F343" s="157"/>
      <c r="G343" s="157"/>
      <c r="H343" s="157"/>
      <c r="I343" s="158"/>
      <c r="J343" s="76" t="e">
        <f>INDEX(Tabla3[IMPORTE EXPRESO],MATCH(RENTABILIDAD[[#This Row],[ID VIAJE ]],Tabla3[ID VIAJE],0))</f>
        <v>#N/A</v>
      </c>
      <c r="K343" s="154" t="e">
        <f>RENTABILIDAD[[#This Row],[IMPORTE FACTURADO INT]]-RENTABILIDAD[[#This Row],[IMPORTE EXPRESOS]]</f>
        <v>#N/A</v>
      </c>
    </row>
    <row r="344" spans="1:11" hidden="1" x14ac:dyDescent="0.2">
      <c r="A344" s="156"/>
      <c r="B344" s="157"/>
      <c r="C344" s="157"/>
      <c r="D344" s="157"/>
      <c r="E344" s="157"/>
      <c r="F344" s="157"/>
      <c r="G344" s="157"/>
      <c r="H344" s="157"/>
      <c r="I344" s="158"/>
      <c r="J344" s="76" t="e">
        <f>INDEX(Tabla3[IMPORTE EXPRESO],MATCH(RENTABILIDAD[[#This Row],[ID VIAJE ]],Tabla3[ID VIAJE],0))</f>
        <v>#N/A</v>
      </c>
      <c r="K344" s="154" t="e">
        <f>RENTABILIDAD[[#This Row],[IMPORTE FACTURADO INT]]-RENTABILIDAD[[#This Row],[IMPORTE EXPRESOS]]</f>
        <v>#N/A</v>
      </c>
    </row>
    <row r="345" spans="1:11" hidden="1" x14ac:dyDescent="0.2">
      <c r="A345" s="156"/>
      <c r="B345" s="157"/>
      <c r="C345" s="157"/>
      <c r="D345" s="157"/>
      <c r="E345" s="157"/>
      <c r="F345" s="157"/>
      <c r="G345" s="157"/>
      <c r="H345" s="157"/>
      <c r="I345" s="158"/>
      <c r="J345" s="76" t="e">
        <f>INDEX(Tabla3[IMPORTE EXPRESO],MATCH(RENTABILIDAD[[#This Row],[ID VIAJE ]],Tabla3[ID VIAJE],0))</f>
        <v>#N/A</v>
      </c>
      <c r="K345" s="154" t="e">
        <f>RENTABILIDAD[[#This Row],[IMPORTE FACTURADO INT]]-RENTABILIDAD[[#This Row],[IMPORTE EXPRESOS]]</f>
        <v>#N/A</v>
      </c>
    </row>
    <row r="346" spans="1:11" hidden="1" x14ac:dyDescent="0.2">
      <c r="A346" s="156"/>
      <c r="B346" s="157"/>
      <c r="C346" s="157"/>
      <c r="D346" s="157"/>
      <c r="E346" s="157"/>
      <c r="F346" s="157"/>
      <c r="G346" s="157"/>
      <c r="H346" s="157"/>
      <c r="I346" s="158"/>
      <c r="J346" s="76" t="e">
        <f>INDEX(Tabla3[IMPORTE EXPRESO],MATCH(RENTABILIDAD[[#This Row],[ID VIAJE ]],Tabla3[ID VIAJE],0))</f>
        <v>#N/A</v>
      </c>
      <c r="K346" s="154" t="e">
        <f>RENTABILIDAD[[#This Row],[IMPORTE FACTURADO INT]]-RENTABILIDAD[[#This Row],[IMPORTE EXPRESOS]]</f>
        <v>#N/A</v>
      </c>
    </row>
    <row r="347" spans="1:11" hidden="1" x14ac:dyDescent="0.2">
      <c r="A347" s="156"/>
      <c r="B347" s="157"/>
      <c r="C347" s="157"/>
      <c r="D347" s="157"/>
      <c r="E347" s="157"/>
      <c r="F347" s="157"/>
      <c r="G347" s="157"/>
      <c r="H347" s="157"/>
      <c r="I347" s="158"/>
      <c r="J347" s="76" t="e">
        <f>INDEX(Tabla3[IMPORTE EXPRESO],MATCH(RENTABILIDAD[[#This Row],[ID VIAJE ]],Tabla3[ID VIAJE],0))</f>
        <v>#N/A</v>
      </c>
      <c r="K347" s="154" t="e">
        <f>RENTABILIDAD[[#This Row],[IMPORTE FACTURADO INT]]-RENTABILIDAD[[#This Row],[IMPORTE EXPRESOS]]</f>
        <v>#N/A</v>
      </c>
    </row>
    <row r="348" spans="1:11" hidden="1" x14ac:dyDescent="0.2">
      <c r="A348" s="156"/>
      <c r="B348" s="157"/>
      <c r="C348" s="157"/>
      <c r="D348" s="157"/>
      <c r="E348" s="157"/>
      <c r="F348" s="157"/>
      <c r="G348" s="157"/>
      <c r="H348" s="157"/>
      <c r="I348" s="158"/>
      <c r="J348" s="76" t="e">
        <f>INDEX(Tabla3[IMPORTE EXPRESO],MATCH(RENTABILIDAD[[#This Row],[ID VIAJE ]],Tabla3[ID VIAJE],0))</f>
        <v>#N/A</v>
      </c>
      <c r="K348" s="154" t="e">
        <f>RENTABILIDAD[[#This Row],[IMPORTE FACTURADO INT]]-RENTABILIDAD[[#This Row],[IMPORTE EXPRESOS]]</f>
        <v>#N/A</v>
      </c>
    </row>
    <row r="349" spans="1:11" hidden="1" x14ac:dyDescent="0.2">
      <c r="A349" s="156"/>
      <c r="B349" s="157"/>
      <c r="C349" s="157"/>
      <c r="D349" s="157"/>
      <c r="E349" s="157"/>
      <c r="F349" s="157"/>
      <c r="G349" s="157"/>
      <c r="H349" s="157"/>
      <c r="I349" s="158"/>
      <c r="J349" s="76" t="e">
        <f>INDEX(Tabla3[IMPORTE EXPRESO],MATCH(RENTABILIDAD[[#This Row],[ID VIAJE ]],Tabla3[ID VIAJE],0))</f>
        <v>#N/A</v>
      </c>
      <c r="K349" s="154" t="e">
        <f>RENTABILIDAD[[#This Row],[IMPORTE FACTURADO INT]]-RENTABILIDAD[[#This Row],[IMPORTE EXPRESOS]]</f>
        <v>#N/A</v>
      </c>
    </row>
    <row r="350" spans="1:11" hidden="1" x14ac:dyDescent="0.2">
      <c r="A350" s="156"/>
      <c r="B350" s="157"/>
      <c r="C350" s="157"/>
      <c r="D350" s="157"/>
      <c r="E350" s="157"/>
      <c r="F350" s="157"/>
      <c r="G350" s="157"/>
      <c r="H350" s="157"/>
      <c r="I350" s="158"/>
      <c r="J350" s="76" t="e">
        <f>INDEX(Tabla3[IMPORTE EXPRESO],MATCH(RENTABILIDAD[[#This Row],[ID VIAJE ]],Tabla3[ID VIAJE],0))</f>
        <v>#N/A</v>
      </c>
      <c r="K350" s="154" t="e">
        <f>RENTABILIDAD[[#This Row],[IMPORTE FACTURADO INT]]-RENTABILIDAD[[#This Row],[IMPORTE EXPRESOS]]</f>
        <v>#N/A</v>
      </c>
    </row>
    <row r="351" spans="1:11" hidden="1" x14ac:dyDescent="0.2">
      <c r="A351" s="156"/>
      <c r="B351" s="157"/>
      <c r="C351" s="157"/>
      <c r="D351" s="157"/>
      <c r="E351" s="157"/>
      <c r="F351" s="157"/>
      <c r="G351" s="157"/>
      <c r="H351" s="157"/>
      <c r="I351" s="158"/>
      <c r="J351" s="76" t="e">
        <f>INDEX(Tabla3[IMPORTE EXPRESO],MATCH(RENTABILIDAD[[#This Row],[ID VIAJE ]],Tabla3[ID VIAJE],0))</f>
        <v>#N/A</v>
      </c>
      <c r="K351" s="154" t="e">
        <f>RENTABILIDAD[[#This Row],[IMPORTE FACTURADO INT]]-RENTABILIDAD[[#This Row],[IMPORTE EXPRESOS]]</f>
        <v>#N/A</v>
      </c>
    </row>
    <row r="352" spans="1:11" hidden="1" x14ac:dyDescent="0.2">
      <c r="A352" s="156"/>
      <c r="B352" s="157"/>
      <c r="C352" s="157"/>
      <c r="D352" s="157"/>
      <c r="E352" s="157"/>
      <c r="F352" s="157"/>
      <c r="G352" s="157"/>
      <c r="H352" s="157"/>
      <c r="I352" s="158"/>
      <c r="J352" s="76" t="e">
        <f>INDEX(Tabla3[IMPORTE EXPRESO],MATCH(RENTABILIDAD[[#This Row],[ID VIAJE ]],Tabla3[ID VIAJE],0))</f>
        <v>#N/A</v>
      </c>
      <c r="K352" s="154" t="e">
        <f>RENTABILIDAD[[#This Row],[IMPORTE FACTURADO INT]]-RENTABILIDAD[[#This Row],[IMPORTE EXPRESOS]]</f>
        <v>#N/A</v>
      </c>
    </row>
    <row r="353" spans="1:11" hidden="1" x14ac:dyDescent="0.2">
      <c r="A353" s="156"/>
      <c r="B353" s="157"/>
      <c r="C353" s="157"/>
      <c r="D353" s="157"/>
      <c r="E353" s="157"/>
      <c r="F353" s="157"/>
      <c r="G353" s="157"/>
      <c r="H353" s="157"/>
      <c r="I353" s="158"/>
      <c r="J353" s="76" t="e">
        <f>INDEX(Tabla3[IMPORTE EXPRESO],MATCH(RENTABILIDAD[[#This Row],[ID VIAJE ]],Tabla3[ID VIAJE],0))</f>
        <v>#N/A</v>
      </c>
      <c r="K353" s="154" t="e">
        <f>RENTABILIDAD[[#This Row],[IMPORTE FACTURADO INT]]-RENTABILIDAD[[#This Row],[IMPORTE EXPRESOS]]</f>
        <v>#N/A</v>
      </c>
    </row>
    <row r="354" spans="1:11" hidden="1" x14ac:dyDescent="0.2">
      <c r="A354" s="156"/>
      <c r="B354" s="157"/>
      <c r="C354" s="157"/>
      <c r="D354" s="157"/>
      <c r="E354" s="157"/>
      <c r="F354" s="157"/>
      <c r="G354" s="157"/>
      <c r="H354" s="157"/>
      <c r="I354" s="158"/>
      <c r="J354" s="76" t="e">
        <f>INDEX(Tabla3[IMPORTE EXPRESO],MATCH(RENTABILIDAD[[#This Row],[ID VIAJE ]],Tabla3[ID VIAJE],0))</f>
        <v>#N/A</v>
      </c>
      <c r="K354" s="154" t="e">
        <f>RENTABILIDAD[[#This Row],[IMPORTE FACTURADO INT]]-RENTABILIDAD[[#This Row],[IMPORTE EXPRESOS]]</f>
        <v>#N/A</v>
      </c>
    </row>
    <row r="355" spans="1:11" hidden="1" x14ac:dyDescent="0.2">
      <c r="A355" s="156"/>
      <c r="B355" s="157"/>
      <c r="C355" s="157"/>
      <c r="D355" s="157"/>
      <c r="E355" s="157"/>
      <c r="F355" s="157"/>
      <c r="G355" s="157"/>
      <c r="H355" s="157"/>
      <c r="I355" s="158"/>
      <c r="J355" s="76" t="e">
        <f>INDEX(Tabla3[IMPORTE EXPRESO],MATCH(RENTABILIDAD[[#This Row],[ID VIAJE ]],Tabla3[ID VIAJE],0))</f>
        <v>#N/A</v>
      </c>
      <c r="K355" s="154" t="e">
        <f>RENTABILIDAD[[#This Row],[IMPORTE FACTURADO INT]]-RENTABILIDAD[[#This Row],[IMPORTE EXPRESOS]]</f>
        <v>#N/A</v>
      </c>
    </row>
    <row r="356" spans="1:11" hidden="1" x14ac:dyDescent="0.2">
      <c r="A356" s="156"/>
      <c r="B356" s="157"/>
      <c r="C356" s="157"/>
      <c r="D356" s="157"/>
      <c r="E356" s="157"/>
      <c r="F356" s="157"/>
      <c r="G356" s="157"/>
      <c r="H356" s="157"/>
      <c r="I356" s="158"/>
      <c r="J356" s="76" t="e">
        <f>INDEX(Tabla3[IMPORTE EXPRESO],MATCH(RENTABILIDAD[[#This Row],[ID VIAJE ]],Tabla3[ID VIAJE],0))</f>
        <v>#N/A</v>
      </c>
      <c r="K356" s="154" t="e">
        <f>RENTABILIDAD[[#This Row],[IMPORTE FACTURADO INT]]-RENTABILIDAD[[#This Row],[IMPORTE EXPRESOS]]</f>
        <v>#N/A</v>
      </c>
    </row>
    <row r="357" spans="1:11" hidden="1" x14ac:dyDescent="0.2">
      <c r="A357" s="156"/>
      <c r="B357" s="157"/>
      <c r="C357" s="157"/>
      <c r="D357" s="157"/>
      <c r="E357" s="157"/>
      <c r="F357" s="157"/>
      <c r="G357" s="157"/>
      <c r="H357" s="157"/>
      <c r="I357" s="158"/>
      <c r="J357" s="76" t="e">
        <f>INDEX(Tabla3[IMPORTE EXPRESO],MATCH(RENTABILIDAD[[#This Row],[ID VIAJE ]],Tabla3[ID VIAJE],0))</f>
        <v>#N/A</v>
      </c>
      <c r="K357" s="154" t="e">
        <f>RENTABILIDAD[[#This Row],[IMPORTE FACTURADO INT]]-RENTABILIDAD[[#This Row],[IMPORTE EXPRESOS]]</f>
        <v>#N/A</v>
      </c>
    </row>
    <row r="358" spans="1:11" hidden="1" x14ac:dyDescent="0.2">
      <c r="A358" s="156"/>
      <c r="B358" s="157"/>
      <c r="C358" s="157"/>
      <c r="D358" s="157"/>
      <c r="E358" s="157"/>
      <c r="F358" s="157"/>
      <c r="G358" s="157"/>
      <c r="H358" s="157"/>
      <c r="I358" s="158"/>
      <c r="J358" s="76" t="e">
        <f>INDEX(Tabla3[IMPORTE EXPRESO],MATCH(RENTABILIDAD[[#This Row],[ID VIAJE ]],Tabla3[ID VIAJE],0))</f>
        <v>#N/A</v>
      </c>
      <c r="K358" s="154" t="e">
        <f>RENTABILIDAD[[#This Row],[IMPORTE FACTURADO INT]]-RENTABILIDAD[[#This Row],[IMPORTE EXPRESOS]]</f>
        <v>#N/A</v>
      </c>
    </row>
    <row r="359" spans="1:11" hidden="1" x14ac:dyDescent="0.2">
      <c r="A359" s="156"/>
      <c r="B359" s="157"/>
      <c r="C359" s="157"/>
      <c r="D359" s="157"/>
      <c r="E359" s="157"/>
      <c r="F359" s="157"/>
      <c r="G359" s="157"/>
      <c r="H359" s="157"/>
      <c r="I359" s="158"/>
      <c r="J359" s="76" t="e">
        <f>INDEX(Tabla3[IMPORTE EXPRESO],MATCH(RENTABILIDAD[[#This Row],[ID VIAJE ]],Tabla3[ID VIAJE],0))</f>
        <v>#N/A</v>
      </c>
      <c r="K359" s="154" t="e">
        <f>RENTABILIDAD[[#This Row],[IMPORTE FACTURADO INT]]-RENTABILIDAD[[#This Row],[IMPORTE EXPRESOS]]</f>
        <v>#N/A</v>
      </c>
    </row>
    <row r="360" spans="1:11" hidden="1" x14ac:dyDescent="0.2">
      <c r="A360" s="156"/>
      <c r="B360" s="157"/>
      <c r="C360" s="157"/>
      <c r="D360" s="157"/>
      <c r="E360" s="157"/>
      <c r="F360" s="157"/>
      <c r="G360" s="157"/>
      <c r="H360" s="157"/>
      <c r="I360" s="158"/>
      <c r="J360" s="76" t="e">
        <f>INDEX(Tabla3[IMPORTE EXPRESO],MATCH(RENTABILIDAD[[#This Row],[ID VIAJE ]],Tabla3[ID VIAJE],0))</f>
        <v>#N/A</v>
      </c>
      <c r="K360" s="154" t="e">
        <f>RENTABILIDAD[[#This Row],[IMPORTE FACTURADO INT]]-RENTABILIDAD[[#This Row],[IMPORTE EXPRESOS]]</f>
        <v>#N/A</v>
      </c>
    </row>
    <row r="361" spans="1:11" hidden="1" x14ac:dyDescent="0.2">
      <c r="A361" s="156"/>
      <c r="B361" s="157"/>
      <c r="C361" s="157"/>
      <c r="D361" s="157"/>
      <c r="E361" s="157"/>
      <c r="F361" s="157"/>
      <c r="G361" s="157"/>
      <c r="H361" s="157"/>
      <c r="I361" s="158"/>
      <c r="J361" s="76" t="e">
        <f>INDEX(Tabla3[IMPORTE EXPRESO],MATCH(RENTABILIDAD[[#This Row],[ID VIAJE ]],Tabla3[ID VIAJE],0))</f>
        <v>#N/A</v>
      </c>
      <c r="K361" s="154" t="e">
        <f>RENTABILIDAD[[#This Row],[IMPORTE FACTURADO INT]]-RENTABILIDAD[[#This Row],[IMPORTE EXPRESOS]]</f>
        <v>#N/A</v>
      </c>
    </row>
    <row r="362" spans="1:11" hidden="1" x14ac:dyDescent="0.2">
      <c r="A362" s="156"/>
      <c r="B362" s="157"/>
      <c r="C362" s="157"/>
      <c r="D362" s="157"/>
      <c r="E362" s="157"/>
      <c r="F362" s="157"/>
      <c r="G362" s="157"/>
      <c r="H362" s="157"/>
      <c r="I362" s="158"/>
      <c r="J362" s="76" t="e">
        <f>INDEX(Tabla3[IMPORTE EXPRESO],MATCH(RENTABILIDAD[[#This Row],[ID VIAJE ]],Tabla3[ID VIAJE],0))</f>
        <v>#N/A</v>
      </c>
      <c r="K362" s="154" t="e">
        <f>RENTABILIDAD[[#This Row],[IMPORTE FACTURADO INT]]-RENTABILIDAD[[#This Row],[IMPORTE EXPRESOS]]</f>
        <v>#N/A</v>
      </c>
    </row>
    <row r="363" spans="1:11" hidden="1" x14ac:dyDescent="0.2">
      <c r="A363" s="156"/>
      <c r="B363" s="157"/>
      <c r="C363" s="157"/>
      <c r="D363" s="157"/>
      <c r="E363" s="157"/>
      <c r="F363" s="157"/>
      <c r="G363" s="157"/>
      <c r="H363" s="157"/>
      <c r="I363" s="158"/>
      <c r="J363" s="76" t="e">
        <f>INDEX(Tabla3[IMPORTE EXPRESO],MATCH(RENTABILIDAD[[#This Row],[ID VIAJE ]],Tabla3[ID VIAJE],0))</f>
        <v>#N/A</v>
      </c>
      <c r="K363" s="154" t="e">
        <f>RENTABILIDAD[[#This Row],[IMPORTE FACTURADO INT]]-RENTABILIDAD[[#This Row],[IMPORTE EXPRESOS]]</f>
        <v>#N/A</v>
      </c>
    </row>
    <row r="364" spans="1:11" hidden="1" x14ac:dyDescent="0.2">
      <c r="A364" s="156"/>
      <c r="B364" s="157"/>
      <c r="C364" s="157"/>
      <c r="D364" s="157"/>
      <c r="E364" s="157"/>
      <c r="F364" s="157"/>
      <c r="G364" s="157"/>
      <c r="H364" s="157"/>
      <c r="I364" s="158"/>
      <c r="J364" s="76" t="e">
        <f>INDEX(Tabla3[IMPORTE EXPRESO],MATCH(RENTABILIDAD[[#This Row],[ID VIAJE ]],Tabla3[ID VIAJE],0))</f>
        <v>#N/A</v>
      </c>
      <c r="K364" s="154" t="e">
        <f>RENTABILIDAD[[#This Row],[IMPORTE FACTURADO INT]]-RENTABILIDAD[[#This Row],[IMPORTE EXPRESOS]]</f>
        <v>#N/A</v>
      </c>
    </row>
    <row r="365" spans="1:11" hidden="1" x14ac:dyDescent="0.2">
      <c r="A365" s="156"/>
      <c r="B365" s="157"/>
      <c r="C365" s="157"/>
      <c r="D365" s="157"/>
      <c r="E365" s="157"/>
      <c r="F365" s="157"/>
      <c r="G365" s="157"/>
      <c r="H365" s="157"/>
      <c r="I365" s="158"/>
      <c r="J365" s="76" t="e">
        <f>INDEX(Tabla3[IMPORTE EXPRESO],MATCH(RENTABILIDAD[[#This Row],[ID VIAJE ]],Tabla3[ID VIAJE],0))</f>
        <v>#N/A</v>
      </c>
      <c r="K365" s="154" t="e">
        <f>RENTABILIDAD[[#This Row],[IMPORTE FACTURADO INT]]-RENTABILIDAD[[#This Row],[IMPORTE EXPRESOS]]</f>
        <v>#N/A</v>
      </c>
    </row>
    <row r="366" spans="1:11" hidden="1" x14ac:dyDescent="0.2">
      <c r="A366" s="156"/>
      <c r="B366" s="157"/>
      <c r="C366" s="157"/>
      <c r="D366" s="157"/>
      <c r="E366" s="157"/>
      <c r="F366" s="157"/>
      <c r="G366" s="157"/>
      <c r="H366" s="157"/>
      <c r="I366" s="158"/>
      <c r="J366" s="76" t="e">
        <f>INDEX(Tabla3[IMPORTE EXPRESO],MATCH(RENTABILIDAD[[#This Row],[ID VIAJE ]],Tabla3[ID VIAJE],0))</f>
        <v>#N/A</v>
      </c>
      <c r="K366" s="154" t="e">
        <f>RENTABILIDAD[[#This Row],[IMPORTE FACTURADO INT]]-RENTABILIDAD[[#This Row],[IMPORTE EXPRESOS]]</f>
        <v>#N/A</v>
      </c>
    </row>
    <row r="367" spans="1:11" hidden="1" x14ac:dyDescent="0.2">
      <c r="A367" s="156"/>
      <c r="B367" s="157"/>
      <c r="C367" s="157"/>
      <c r="D367" s="157"/>
      <c r="E367" s="157"/>
      <c r="F367" s="157"/>
      <c r="G367" s="157"/>
      <c r="H367" s="157"/>
      <c r="I367" s="158"/>
      <c r="J367" s="76" t="e">
        <f>INDEX(Tabla3[IMPORTE EXPRESO],MATCH(RENTABILIDAD[[#This Row],[ID VIAJE ]],Tabla3[ID VIAJE],0))</f>
        <v>#N/A</v>
      </c>
      <c r="K367" s="154" t="e">
        <f>RENTABILIDAD[[#This Row],[IMPORTE FACTURADO INT]]-RENTABILIDAD[[#This Row],[IMPORTE EXPRESOS]]</f>
        <v>#N/A</v>
      </c>
    </row>
    <row r="368" spans="1:11" hidden="1" x14ac:dyDescent="0.2">
      <c r="A368" s="156"/>
      <c r="B368" s="157"/>
      <c r="C368" s="157"/>
      <c r="D368" s="157"/>
      <c r="E368" s="157"/>
      <c r="F368" s="157"/>
      <c r="G368" s="157"/>
      <c r="H368" s="157"/>
      <c r="I368" s="158"/>
      <c r="J368" s="76" t="e">
        <f>INDEX(Tabla3[IMPORTE EXPRESO],MATCH(RENTABILIDAD[[#This Row],[ID VIAJE ]],Tabla3[ID VIAJE],0))</f>
        <v>#N/A</v>
      </c>
      <c r="K368" s="154" t="e">
        <f>RENTABILIDAD[[#This Row],[IMPORTE FACTURADO INT]]-RENTABILIDAD[[#This Row],[IMPORTE EXPRESOS]]</f>
        <v>#N/A</v>
      </c>
    </row>
    <row r="369" spans="1:11" hidden="1" x14ac:dyDescent="0.2">
      <c r="A369" s="156"/>
      <c r="B369" s="157"/>
      <c r="C369" s="157"/>
      <c r="D369" s="157"/>
      <c r="E369" s="157"/>
      <c r="F369" s="157"/>
      <c r="G369" s="157"/>
      <c r="H369" s="157"/>
      <c r="I369" s="158"/>
      <c r="J369" s="76" t="e">
        <f>INDEX(Tabla3[IMPORTE EXPRESO],MATCH(RENTABILIDAD[[#This Row],[ID VIAJE ]],Tabla3[ID VIAJE],0))</f>
        <v>#N/A</v>
      </c>
      <c r="K369" s="154" t="e">
        <f>RENTABILIDAD[[#This Row],[IMPORTE FACTURADO INT]]-RENTABILIDAD[[#This Row],[IMPORTE EXPRESOS]]</f>
        <v>#N/A</v>
      </c>
    </row>
    <row r="370" spans="1:11" hidden="1" x14ac:dyDescent="0.2">
      <c r="A370" s="156"/>
      <c r="B370" s="157"/>
      <c r="C370" s="157"/>
      <c r="D370" s="157"/>
      <c r="E370" s="157"/>
      <c r="F370" s="157"/>
      <c r="G370" s="157"/>
      <c r="H370" s="157"/>
      <c r="I370" s="158"/>
      <c r="J370" s="76" t="e">
        <f>INDEX(Tabla3[IMPORTE EXPRESO],MATCH(RENTABILIDAD[[#This Row],[ID VIAJE ]],Tabla3[ID VIAJE],0))</f>
        <v>#N/A</v>
      </c>
      <c r="K370" s="154" t="e">
        <f>RENTABILIDAD[[#This Row],[IMPORTE FACTURADO INT]]-RENTABILIDAD[[#This Row],[IMPORTE EXPRESOS]]</f>
        <v>#N/A</v>
      </c>
    </row>
    <row r="371" spans="1:11" hidden="1" x14ac:dyDescent="0.2">
      <c r="A371" s="156"/>
      <c r="B371" s="157"/>
      <c r="C371" s="157"/>
      <c r="D371" s="157"/>
      <c r="E371" s="157"/>
      <c r="F371" s="157"/>
      <c r="G371" s="157"/>
      <c r="H371" s="157"/>
      <c r="I371" s="158"/>
      <c r="J371" s="76" t="e">
        <f>INDEX(Tabla3[IMPORTE EXPRESO],MATCH(RENTABILIDAD[[#This Row],[ID VIAJE ]],Tabla3[ID VIAJE],0))</f>
        <v>#N/A</v>
      </c>
      <c r="K371" s="154" t="e">
        <f>RENTABILIDAD[[#This Row],[IMPORTE FACTURADO INT]]-RENTABILIDAD[[#This Row],[IMPORTE EXPRESOS]]</f>
        <v>#N/A</v>
      </c>
    </row>
    <row r="372" spans="1:11" hidden="1" x14ac:dyDescent="0.2">
      <c r="A372" s="156"/>
      <c r="B372" s="157"/>
      <c r="C372" s="157"/>
      <c r="D372" s="157"/>
      <c r="E372" s="157"/>
      <c r="F372" s="157"/>
      <c r="G372" s="157"/>
      <c r="H372" s="157"/>
      <c r="I372" s="158"/>
      <c r="J372" s="76" t="e">
        <f>INDEX(Tabla3[IMPORTE EXPRESO],MATCH(RENTABILIDAD[[#This Row],[ID VIAJE ]],Tabla3[ID VIAJE],0))</f>
        <v>#N/A</v>
      </c>
      <c r="K372" s="154" t="e">
        <f>RENTABILIDAD[[#This Row],[IMPORTE FACTURADO INT]]-RENTABILIDAD[[#This Row],[IMPORTE EXPRESOS]]</f>
        <v>#N/A</v>
      </c>
    </row>
    <row r="373" spans="1:11" hidden="1" x14ac:dyDescent="0.2">
      <c r="A373" s="156"/>
      <c r="B373" s="157"/>
      <c r="C373" s="157"/>
      <c r="D373" s="157"/>
      <c r="E373" s="157"/>
      <c r="F373" s="157"/>
      <c r="G373" s="157"/>
      <c r="H373" s="157"/>
      <c r="I373" s="158"/>
      <c r="J373" s="76" t="e">
        <f>INDEX(Tabla3[IMPORTE EXPRESO],MATCH(RENTABILIDAD[[#This Row],[ID VIAJE ]],Tabla3[ID VIAJE],0))</f>
        <v>#N/A</v>
      </c>
      <c r="K373" s="154" t="e">
        <f>RENTABILIDAD[[#This Row],[IMPORTE FACTURADO INT]]-RENTABILIDAD[[#This Row],[IMPORTE EXPRESOS]]</f>
        <v>#N/A</v>
      </c>
    </row>
    <row r="374" spans="1:11" hidden="1" x14ac:dyDescent="0.2">
      <c r="A374" s="156"/>
      <c r="B374" s="157"/>
      <c r="C374" s="157"/>
      <c r="D374" s="157"/>
      <c r="E374" s="157"/>
      <c r="F374" s="157"/>
      <c r="G374" s="157"/>
      <c r="H374" s="157"/>
      <c r="I374" s="158"/>
      <c r="J374" s="76" t="e">
        <f>INDEX(Tabla3[IMPORTE EXPRESO],MATCH(RENTABILIDAD[[#This Row],[ID VIAJE ]],Tabla3[ID VIAJE],0))</f>
        <v>#N/A</v>
      </c>
      <c r="K374" s="154" t="e">
        <f>RENTABILIDAD[[#This Row],[IMPORTE FACTURADO INT]]-RENTABILIDAD[[#This Row],[IMPORTE EXPRESOS]]</f>
        <v>#N/A</v>
      </c>
    </row>
    <row r="375" spans="1:11" hidden="1" x14ac:dyDescent="0.2">
      <c r="A375" s="156"/>
      <c r="B375" s="157"/>
      <c r="C375" s="157"/>
      <c r="D375" s="157"/>
      <c r="E375" s="157"/>
      <c r="F375" s="157"/>
      <c r="G375" s="157"/>
      <c r="H375" s="157"/>
      <c r="I375" s="158"/>
      <c r="J375" s="76" t="e">
        <f>INDEX(Tabla3[IMPORTE EXPRESO],MATCH(RENTABILIDAD[[#This Row],[ID VIAJE ]],Tabla3[ID VIAJE],0))</f>
        <v>#N/A</v>
      </c>
      <c r="K375" s="154" t="e">
        <f>RENTABILIDAD[[#This Row],[IMPORTE FACTURADO INT]]-RENTABILIDAD[[#This Row],[IMPORTE EXPRESOS]]</f>
        <v>#N/A</v>
      </c>
    </row>
    <row r="376" spans="1:11" hidden="1" x14ac:dyDescent="0.2">
      <c r="A376" s="156"/>
      <c r="B376" s="157"/>
      <c r="C376" s="157"/>
      <c r="D376" s="157"/>
      <c r="E376" s="157"/>
      <c r="F376" s="157"/>
      <c r="G376" s="157"/>
      <c r="H376" s="157"/>
      <c r="I376" s="158"/>
      <c r="J376" s="76" t="e">
        <f>INDEX(Tabla3[IMPORTE EXPRESO],MATCH(RENTABILIDAD[[#This Row],[ID VIAJE ]],Tabla3[ID VIAJE],0))</f>
        <v>#N/A</v>
      </c>
      <c r="K376" s="154" t="e">
        <f>RENTABILIDAD[[#This Row],[IMPORTE FACTURADO INT]]-RENTABILIDAD[[#This Row],[IMPORTE EXPRESOS]]</f>
        <v>#N/A</v>
      </c>
    </row>
    <row r="377" spans="1:11" hidden="1" x14ac:dyDescent="0.2">
      <c r="A377" s="156"/>
      <c r="B377" s="157"/>
      <c r="C377" s="157"/>
      <c r="D377" s="157"/>
      <c r="E377" s="157"/>
      <c r="F377" s="157"/>
      <c r="G377" s="157"/>
      <c r="H377" s="157"/>
      <c r="I377" s="158"/>
      <c r="J377" s="76" t="e">
        <f>INDEX(Tabla3[IMPORTE EXPRESO],MATCH(RENTABILIDAD[[#This Row],[ID VIAJE ]],Tabla3[ID VIAJE],0))</f>
        <v>#N/A</v>
      </c>
      <c r="K377" s="154" t="e">
        <f>RENTABILIDAD[[#This Row],[IMPORTE FACTURADO INT]]-RENTABILIDAD[[#This Row],[IMPORTE EXPRESOS]]</f>
        <v>#N/A</v>
      </c>
    </row>
    <row r="378" spans="1:11" hidden="1" x14ac:dyDescent="0.2">
      <c r="A378" s="156"/>
      <c r="B378" s="157"/>
      <c r="C378" s="157"/>
      <c r="D378" s="157"/>
      <c r="E378" s="157"/>
      <c r="F378" s="157"/>
      <c r="G378" s="157"/>
      <c r="H378" s="157"/>
      <c r="I378" s="158"/>
      <c r="J378" s="76" t="e">
        <f>INDEX(Tabla3[IMPORTE EXPRESO],MATCH(RENTABILIDAD[[#This Row],[ID VIAJE ]],Tabla3[ID VIAJE],0))</f>
        <v>#N/A</v>
      </c>
      <c r="K378" s="154" t="e">
        <f>RENTABILIDAD[[#This Row],[IMPORTE FACTURADO INT]]-RENTABILIDAD[[#This Row],[IMPORTE EXPRESOS]]</f>
        <v>#N/A</v>
      </c>
    </row>
    <row r="379" spans="1:11" hidden="1" x14ac:dyDescent="0.2">
      <c r="A379" s="156"/>
      <c r="B379" s="157"/>
      <c r="C379" s="157"/>
      <c r="D379" s="157"/>
      <c r="E379" s="157"/>
      <c r="F379" s="157"/>
      <c r="G379" s="157"/>
      <c r="H379" s="157"/>
      <c r="I379" s="158"/>
      <c r="J379" s="76" t="e">
        <f>INDEX(Tabla3[IMPORTE EXPRESO],MATCH(RENTABILIDAD[[#This Row],[ID VIAJE ]],Tabla3[ID VIAJE],0))</f>
        <v>#N/A</v>
      </c>
      <c r="K379" s="154" t="e">
        <f>RENTABILIDAD[[#This Row],[IMPORTE FACTURADO INT]]-RENTABILIDAD[[#This Row],[IMPORTE EXPRESOS]]</f>
        <v>#N/A</v>
      </c>
    </row>
    <row r="380" spans="1:11" hidden="1" x14ac:dyDescent="0.2">
      <c r="A380" s="156"/>
      <c r="B380" s="157"/>
      <c r="C380" s="157"/>
      <c r="D380" s="157"/>
      <c r="E380" s="157"/>
      <c r="F380" s="157"/>
      <c r="G380" s="157"/>
      <c r="H380" s="157"/>
      <c r="I380" s="158"/>
      <c r="J380" s="76" t="e">
        <f>INDEX(Tabla3[IMPORTE EXPRESO],MATCH(RENTABILIDAD[[#This Row],[ID VIAJE ]],Tabla3[ID VIAJE],0))</f>
        <v>#N/A</v>
      </c>
      <c r="K380" s="154" t="e">
        <f>RENTABILIDAD[[#This Row],[IMPORTE FACTURADO INT]]-RENTABILIDAD[[#This Row],[IMPORTE EXPRESOS]]</f>
        <v>#N/A</v>
      </c>
    </row>
    <row r="381" spans="1:11" hidden="1" x14ac:dyDescent="0.2">
      <c r="A381" s="156"/>
      <c r="B381" s="157"/>
      <c r="C381" s="157"/>
      <c r="D381" s="157"/>
      <c r="E381" s="157"/>
      <c r="F381" s="157"/>
      <c r="G381" s="157"/>
      <c r="H381" s="157"/>
      <c r="I381" s="158"/>
      <c r="J381" s="76" t="e">
        <f>INDEX(Tabla3[IMPORTE EXPRESO],MATCH(RENTABILIDAD[[#This Row],[ID VIAJE ]],Tabla3[ID VIAJE],0))</f>
        <v>#N/A</v>
      </c>
      <c r="K381" s="154" t="e">
        <f>RENTABILIDAD[[#This Row],[IMPORTE FACTURADO INT]]-RENTABILIDAD[[#This Row],[IMPORTE EXPRESOS]]</f>
        <v>#N/A</v>
      </c>
    </row>
    <row r="382" spans="1:11" hidden="1" x14ac:dyDescent="0.2">
      <c r="A382" s="156"/>
      <c r="B382" s="157"/>
      <c r="C382" s="157"/>
      <c r="D382" s="157"/>
      <c r="E382" s="157"/>
      <c r="F382" s="157"/>
      <c r="G382" s="157"/>
      <c r="H382" s="157"/>
      <c r="I382" s="158"/>
      <c r="J382" s="76" t="e">
        <f>INDEX(Tabla3[IMPORTE EXPRESO],MATCH(RENTABILIDAD[[#This Row],[ID VIAJE ]],Tabla3[ID VIAJE],0))</f>
        <v>#N/A</v>
      </c>
      <c r="K382" s="154" t="e">
        <f>RENTABILIDAD[[#This Row],[IMPORTE FACTURADO INT]]-RENTABILIDAD[[#This Row],[IMPORTE EXPRESOS]]</f>
        <v>#N/A</v>
      </c>
    </row>
    <row r="383" spans="1:11" hidden="1" x14ac:dyDescent="0.2">
      <c r="A383" s="156"/>
      <c r="B383" s="157"/>
      <c r="C383" s="157"/>
      <c r="D383" s="157"/>
      <c r="E383" s="157"/>
      <c r="F383" s="157"/>
      <c r="G383" s="157"/>
      <c r="H383" s="157"/>
      <c r="I383" s="158"/>
      <c r="J383" s="76" t="e">
        <f>INDEX(Tabla3[IMPORTE EXPRESO],MATCH(RENTABILIDAD[[#This Row],[ID VIAJE ]],Tabla3[ID VIAJE],0))</f>
        <v>#N/A</v>
      </c>
      <c r="K383" s="154" t="e">
        <f>RENTABILIDAD[[#This Row],[IMPORTE FACTURADO INT]]-RENTABILIDAD[[#This Row],[IMPORTE EXPRESOS]]</f>
        <v>#N/A</v>
      </c>
    </row>
    <row r="384" spans="1:11" hidden="1" x14ac:dyDescent="0.2">
      <c r="A384" s="156"/>
      <c r="B384" s="157"/>
      <c r="C384" s="157"/>
      <c r="D384" s="157"/>
      <c r="E384" s="157"/>
      <c r="F384" s="157"/>
      <c r="G384" s="157"/>
      <c r="H384" s="157"/>
      <c r="I384" s="158"/>
      <c r="J384" s="76" t="e">
        <f>INDEX(Tabla3[IMPORTE EXPRESO],MATCH(RENTABILIDAD[[#This Row],[ID VIAJE ]],Tabla3[ID VIAJE],0))</f>
        <v>#N/A</v>
      </c>
      <c r="K384" s="154" t="e">
        <f>RENTABILIDAD[[#This Row],[IMPORTE FACTURADO INT]]-RENTABILIDAD[[#This Row],[IMPORTE EXPRESOS]]</f>
        <v>#N/A</v>
      </c>
    </row>
    <row r="385" spans="1:11" hidden="1" x14ac:dyDescent="0.2">
      <c r="A385" s="156"/>
      <c r="B385" s="157"/>
      <c r="C385" s="157"/>
      <c r="D385" s="157"/>
      <c r="E385" s="157"/>
      <c r="F385" s="157"/>
      <c r="G385" s="157"/>
      <c r="H385" s="157"/>
      <c r="I385" s="158"/>
      <c r="J385" s="76" t="e">
        <f>INDEX(Tabla3[IMPORTE EXPRESO],MATCH(RENTABILIDAD[[#This Row],[ID VIAJE ]],Tabla3[ID VIAJE],0))</f>
        <v>#N/A</v>
      </c>
      <c r="K385" s="154" t="e">
        <f>RENTABILIDAD[[#This Row],[IMPORTE FACTURADO INT]]-RENTABILIDAD[[#This Row],[IMPORTE EXPRESOS]]</f>
        <v>#N/A</v>
      </c>
    </row>
    <row r="386" spans="1:11" hidden="1" x14ac:dyDescent="0.2">
      <c r="A386" s="156"/>
      <c r="B386" s="157"/>
      <c r="C386" s="157"/>
      <c r="D386" s="157"/>
      <c r="E386" s="157"/>
      <c r="F386" s="157"/>
      <c r="G386" s="157"/>
      <c r="H386" s="157"/>
      <c r="I386" s="158"/>
      <c r="J386" s="76" t="e">
        <f>INDEX(Tabla3[IMPORTE EXPRESO],MATCH(RENTABILIDAD[[#This Row],[ID VIAJE ]],Tabla3[ID VIAJE],0))</f>
        <v>#N/A</v>
      </c>
      <c r="K386" s="154" t="e">
        <f>RENTABILIDAD[[#This Row],[IMPORTE FACTURADO INT]]-RENTABILIDAD[[#This Row],[IMPORTE EXPRESOS]]</f>
        <v>#N/A</v>
      </c>
    </row>
    <row r="387" spans="1:11" hidden="1" x14ac:dyDescent="0.2">
      <c r="A387" s="156"/>
      <c r="B387" s="157"/>
      <c r="C387" s="157"/>
      <c r="D387" s="157"/>
      <c r="E387" s="157"/>
      <c r="F387" s="157"/>
      <c r="G387" s="157"/>
      <c r="H387" s="157"/>
      <c r="I387" s="158"/>
      <c r="J387" s="76" t="e">
        <f>INDEX(Tabla3[IMPORTE EXPRESO],MATCH(RENTABILIDAD[[#This Row],[ID VIAJE ]],Tabla3[ID VIAJE],0))</f>
        <v>#N/A</v>
      </c>
      <c r="K387" s="154" t="e">
        <f>RENTABILIDAD[[#This Row],[IMPORTE FACTURADO INT]]-RENTABILIDAD[[#This Row],[IMPORTE EXPRESOS]]</f>
        <v>#N/A</v>
      </c>
    </row>
    <row r="388" spans="1:11" hidden="1" x14ac:dyDescent="0.2">
      <c r="A388" s="156"/>
      <c r="B388" s="157"/>
      <c r="C388" s="157"/>
      <c r="D388" s="157"/>
      <c r="E388" s="157"/>
      <c r="F388" s="157"/>
      <c r="G388" s="157"/>
      <c r="H388" s="157"/>
      <c r="I388" s="158"/>
      <c r="J388" s="76" t="e">
        <f>INDEX(Tabla3[IMPORTE EXPRESO],MATCH(RENTABILIDAD[[#This Row],[ID VIAJE ]],Tabla3[ID VIAJE],0))</f>
        <v>#N/A</v>
      </c>
      <c r="K388" s="154" t="e">
        <f>RENTABILIDAD[[#This Row],[IMPORTE FACTURADO INT]]-RENTABILIDAD[[#This Row],[IMPORTE EXPRESOS]]</f>
        <v>#N/A</v>
      </c>
    </row>
    <row r="389" spans="1:11" hidden="1" x14ac:dyDescent="0.2">
      <c r="A389" s="156"/>
      <c r="B389" s="157"/>
      <c r="C389" s="157"/>
      <c r="D389" s="157"/>
      <c r="E389" s="157"/>
      <c r="F389" s="157"/>
      <c r="G389" s="157"/>
      <c r="H389" s="157"/>
      <c r="I389" s="158"/>
      <c r="J389" s="76" t="e">
        <f>INDEX(Tabla3[IMPORTE EXPRESO],MATCH(RENTABILIDAD[[#This Row],[ID VIAJE ]],Tabla3[ID VIAJE],0))</f>
        <v>#N/A</v>
      </c>
      <c r="K389" s="154" t="e">
        <f>RENTABILIDAD[[#This Row],[IMPORTE FACTURADO INT]]-RENTABILIDAD[[#This Row],[IMPORTE EXPRESOS]]</f>
        <v>#N/A</v>
      </c>
    </row>
    <row r="390" spans="1:11" hidden="1" x14ac:dyDescent="0.2">
      <c r="A390" s="156"/>
      <c r="B390" s="157"/>
      <c r="C390" s="157"/>
      <c r="D390" s="157"/>
      <c r="E390" s="157"/>
      <c r="F390" s="157"/>
      <c r="G390" s="157"/>
      <c r="H390" s="157"/>
      <c r="I390" s="158"/>
      <c r="J390" s="76" t="e">
        <f>INDEX(Tabla3[IMPORTE EXPRESO],MATCH(RENTABILIDAD[[#This Row],[ID VIAJE ]],Tabla3[ID VIAJE],0))</f>
        <v>#N/A</v>
      </c>
      <c r="K390" s="154" t="e">
        <f>RENTABILIDAD[[#This Row],[IMPORTE FACTURADO INT]]-RENTABILIDAD[[#This Row],[IMPORTE EXPRESOS]]</f>
        <v>#N/A</v>
      </c>
    </row>
    <row r="391" spans="1:11" hidden="1" x14ac:dyDescent="0.2">
      <c r="A391" s="156"/>
      <c r="B391" s="157"/>
      <c r="C391" s="157"/>
      <c r="D391" s="157"/>
      <c r="E391" s="157"/>
      <c r="F391" s="157"/>
      <c r="G391" s="157"/>
      <c r="H391" s="157"/>
      <c r="I391" s="158"/>
      <c r="J391" s="76" t="e">
        <f>INDEX(Tabla3[IMPORTE EXPRESO],MATCH(RENTABILIDAD[[#This Row],[ID VIAJE ]],Tabla3[ID VIAJE],0))</f>
        <v>#N/A</v>
      </c>
      <c r="K391" s="154" t="e">
        <f>RENTABILIDAD[[#This Row],[IMPORTE FACTURADO INT]]-RENTABILIDAD[[#This Row],[IMPORTE EXPRESOS]]</f>
        <v>#N/A</v>
      </c>
    </row>
    <row r="392" spans="1:11" hidden="1" x14ac:dyDescent="0.2">
      <c r="A392" s="156"/>
      <c r="B392" s="157"/>
      <c r="C392" s="157"/>
      <c r="D392" s="157"/>
      <c r="E392" s="157"/>
      <c r="F392" s="157"/>
      <c r="G392" s="157"/>
      <c r="H392" s="157"/>
      <c r="I392" s="158"/>
      <c r="J392" s="76" t="e">
        <f>INDEX(Tabla3[IMPORTE EXPRESO],MATCH(RENTABILIDAD[[#This Row],[ID VIAJE ]],Tabla3[ID VIAJE],0))</f>
        <v>#N/A</v>
      </c>
      <c r="K392" s="154" t="e">
        <f>RENTABILIDAD[[#This Row],[IMPORTE FACTURADO INT]]-RENTABILIDAD[[#This Row],[IMPORTE EXPRESOS]]</f>
        <v>#N/A</v>
      </c>
    </row>
    <row r="393" spans="1:11" hidden="1" x14ac:dyDescent="0.2">
      <c r="A393" s="156"/>
      <c r="B393" s="157"/>
      <c r="C393" s="157"/>
      <c r="D393" s="157"/>
      <c r="E393" s="157"/>
      <c r="F393" s="157"/>
      <c r="G393" s="157"/>
      <c r="H393" s="157"/>
      <c r="I393" s="158"/>
      <c r="J393" s="76" t="e">
        <f>INDEX(Tabla3[IMPORTE EXPRESO],MATCH(RENTABILIDAD[[#This Row],[ID VIAJE ]],Tabla3[ID VIAJE],0))</f>
        <v>#N/A</v>
      </c>
      <c r="K393" s="154" t="e">
        <f>RENTABILIDAD[[#This Row],[IMPORTE FACTURADO INT]]-RENTABILIDAD[[#This Row],[IMPORTE EXPRESOS]]</f>
        <v>#N/A</v>
      </c>
    </row>
    <row r="394" spans="1:11" hidden="1" x14ac:dyDescent="0.2">
      <c r="A394" s="156"/>
      <c r="B394" s="157"/>
      <c r="C394" s="157"/>
      <c r="D394" s="157"/>
      <c r="E394" s="157"/>
      <c r="F394" s="157"/>
      <c r="G394" s="157"/>
      <c r="H394" s="157"/>
      <c r="I394" s="158"/>
      <c r="J394" s="76" t="e">
        <f>INDEX(Tabla3[IMPORTE EXPRESO],MATCH(RENTABILIDAD[[#This Row],[ID VIAJE ]],Tabla3[ID VIAJE],0))</f>
        <v>#N/A</v>
      </c>
      <c r="K394" s="154" t="e">
        <f>RENTABILIDAD[[#This Row],[IMPORTE FACTURADO INT]]-RENTABILIDAD[[#This Row],[IMPORTE EXPRESOS]]</f>
        <v>#N/A</v>
      </c>
    </row>
    <row r="395" spans="1:11" hidden="1" x14ac:dyDescent="0.2">
      <c r="A395" s="156"/>
      <c r="B395" s="157"/>
      <c r="C395" s="157"/>
      <c r="D395" s="157"/>
      <c r="E395" s="157"/>
      <c r="F395" s="157"/>
      <c r="G395" s="157"/>
      <c r="H395" s="157"/>
      <c r="I395" s="158"/>
      <c r="J395" s="76" t="e">
        <f>INDEX(Tabla3[IMPORTE EXPRESO],MATCH(RENTABILIDAD[[#This Row],[ID VIAJE ]],Tabla3[ID VIAJE],0))</f>
        <v>#N/A</v>
      </c>
      <c r="K395" s="154" t="e">
        <f>RENTABILIDAD[[#This Row],[IMPORTE FACTURADO INT]]-RENTABILIDAD[[#This Row],[IMPORTE EXPRESOS]]</f>
        <v>#N/A</v>
      </c>
    </row>
    <row r="396" spans="1:11" hidden="1" x14ac:dyDescent="0.2">
      <c r="A396" s="156"/>
      <c r="B396" s="157"/>
      <c r="C396" s="157"/>
      <c r="D396" s="157"/>
      <c r="E396" s="157"/>
      <c r="F396" s="157"/>
      <c r="G396" s="157"/>
      <c r="H396" s="157"/>
      <c r="I396" s="158"/>
      <c r="J396" s="76" t="e">
        <f>INDEX(Tabla3[IMPORTE EXPRESO],MATCH(RENTABILIDAD[[#This Row],[ID VIAJE ]],Tabla3[ID VIAJE],0))</f>
        <v>#N/A</v>
      </c>
      <c r="K396" s="154" t="e">
        <f>RENTABILIDAD[[#This Row],[IMPORTE FACTURADO INT]]-RENTABILIDAD[[#This Row],[IMPORTE EXPRESOS]]</f>
        <v>#N/A</v>
      </c>
    </row>
    <row r="397" spans="1:11" hidden="1" x14ac:dyDescent="0.2">
      <c r="A397" s="156"/>
      <c r="B397" s="157"/>
      <c r="C397" s="157"/>
      <c r="D397" s="157"/>
      <c r="E397" s="157"/>
      <c r="F397" s="157"/>
      <c r="G397" s="157"/>
      <c r="H397" s="157"/>
      <c r="I397" s="158"/>
      <c r="J397" s="76" t="e">
        <f>INDEX(Tabla3[IMPORTE EXPRESO],MATCH(RENTABILIDAD[[#This Row],[ID VIAJE ]],Tabla3[ID VIAJE],0))</f>
        <v>#N/A</v>
      </c>
      <c r="K397" s="154" t="e">
        <f>RENTABILIDAD[[#This Row],[IMPORTE FACTURADO INT]]-RENTABILIDAD[[#This Row],[IMPORTE EXPRESOS]]</f>
        <v>#N/A</v>
      </c>
    </row>
    <row r="398" spans="1:11" hidden="1" x14ac:dyDescent="0.2">
      <c r="A398" s="156"/>
      <c r="B398" s="157"/>
      <c r="C398" s="157"/>
      <c r="D398" s="157"/>
      <c r="E398" s="157"/>
      <c r="F398" s="157"/>
      <c r="G398" s="157"/>
      <c r="H398" s="157"/>
      <c r="I398" s="158"/>
      <c r="J398" s="76" t="e">
        <f>INDEX(Tabla3[IMPORTE EXPRESO],MATCH(RENTABILIDAD[[#This Row],[ID VIAJE ]],Tabla3[ID VIAJE],0))</f>
        <v>#N/A</v>
      </c>
      <c r="K398" s="154" t="e">
        <f>RENTABILIDAD[[#This Row],[IMPORTE FACTURADO INT]]-RENTABILIDAD[[#This Row],[IMPORTE EXPRESOS]]</f>
        <v>#N/A</v>
      </c>
    </row>
    <row r="399" spans="1:11" hidden="1" x14ac:dyDescent="0.2">
      <c r="A399" s="156"/>
      <c r="B399" s="157"/>
      <c r="C399" s="157"/>
      <c r="D399" s="157"/>
      <c r="E399" s="157"/>
      <c r="F399" s="157"/>
      <c r="G399" s="157"/>
      <c r="H399" s="157"/>
      <c r="I399" s="158"/>
      <c r="J399" s="76" t="e">
        <f>INDEX(Tabla3[IMPORTE EXPRESO],MATCH(RENTABILIDAD[[#This Row],[ID VIAJE ]],Tabla3[ID VIAJE],0))</f>
        <v>#N/A</v>
      </c>
      <c r="K399" s="154" t="e">
        <f>RENTABILIDAD[[#This Row],[IMPORTE FACTURADO INT]]-RENTABILIDAD[[#This Row],[IMPORTE EXPRESOS]]</f>
        <v>#N/A</v>
      </c>
    </row>
    <row r="400" spans="1:11" hidden="1" x14ac:dyDescent="0.2">
      <c r="A400" s="156"/>
      <c r="B400" s="157"/>
      <c r="C400" s="157"/>
      <c r="D400" s="157"/>
      <c r="E400" s="157"/>
      <c r="F400" s="157"/>
      <c r="G400" s="157"/>
      <c r="H400" s="157"/>
      <c r="I400" s="158"/>
      <c r="J400" s="76" t="e">
        <f>INDEX(Tabla3[IMPORTE EXPRESO],MATCH(RENTABILIDAD[[#This Row],[ID VIAJE ]],Tabla3[ID VIAJE],0))</f>
        <v>#N/A</v>
      </c>
      <c r="K400" s="154" t="e">
        <f>RENTABILIDAD[[#This Row],[IMPORTE FACTURADO INT]]-RENTABILIDAD[[#This Row],[IMPORTE EXPRESOS]]</f>
        <v>#N/A</v>
      </c>
    </row>
    <row r="401" spans="1:11" hidden="1" x14ac:dyDescent="0.2">
      <c r="A401" s="156"/>
      <c r="B401" s="157"/>
      <c r="C401" s="157"/>
      <c r="D401" s="157"/>
      <c r="E401" s="157"/>
      <c r="F401" s="157"/>
      <c r="G401" s="157"/>
      <c r="H401" s="157"/>
      <c r="I401" s="158"/>
      <c r="J401" s="76" t="e">
        <f>INDEX(Tabla3[IMPORTE EXPRESO],MATCH(RENTABILIDAD[[#This Row],[ID VIAJE ]],Tabla3[ID VIAJE],0))</f>
        <v>#N/A</v>
      </c>
      <c r="K401" s="154" t="e">
        <f>RENTABILIDAD[[#This Row],[IMPORTE FACTURADO INT]]-RENTABILIDAD[[#This Row],[IMPORTE EXPRESOS]]</f>
        <v>#N/A</v>
      </c>
    </row>
    <row r="402" spans="1:11" hidden="1" x14ac:dyDescent="0.2">
      <c r="A402" s="156"/>
      <c r="B402" s="157"/>
      <c r="C402" s="157"/>
      <c r="D402" s="157"/>
      <c r="E402" s="157"/>
      <c r="F402" s="157"/>
      <c r="G402" s="157"/>
      <c r="H402" s="157"/>
      <c r="I402" s="158"/>
      <c r="J402" s="76" t="e">
        <f>INDEX(Tabla3[IMPORTE EXPRESO],MATCH(RENTABILIDAD[[#This Row],[ID VIAJE ]],Tabla3[ID VIAJE],0))</f>
        <v>#N/A</v>
      </c>
      <c r="K402" s="154" t="e">
        <f>RENTABILIDAD[[#This Row],[IMPORTE FACTURADO INT]]-RENTABILIDAD[[#This Row],[IMPORTE EXPRESOS]]</f>
        <v>#N/A</v>
      </c>
    </row>
    <row r="403" spans="1:11" hidden="1" x14ac:dyDescent="0.2">
      <c r="A403" s="156"/>
      <c r="B403" s="157"/>
      <c r="C403" s="157"/>
      <c r="D403" s="157"/>
      <c r="E403" s="157"/>
      <c r="F403" s="157"/>
      <c r="G403" s="157"/>
      <c r="H403" s="157"/>
      <c r="I403" s="158"/>
      <c r="J403" s="76" t="e">
        <f>INDEX(Tabla3[IMPORTE EXPRESO],MATCH(RENTABILIDAD[[#This Row],[ID VIAJE ]],Tabla3[ID VIAJE],0))</f>
        <v>#N/A</v>
      </c>
      <c r="K403" s="154" t="e">
        <f>RENTABILIDAD[[#This Row],[IMPORTE FACTURADO INT]]-RENTABILIDAD[[#This Row],[IMPORTE EXPRESOS]]</f>
        <v>#N/A</v>
      </c>
    </row>
    <row r="404" spans="1:11" hidden="1" x14ac:dyDescent="0.2">
      <c r="A404" s="156"/>
      <c r="B404" s="157"/>
      <c r="C404" s="157"/>
      <c r="D404" s="157"/>
      <c r="E404" s="157"/>
      <c r="F404" s="157"/>
      <c r="G404" s="157"/>
      <c r="H404" s="157"/>
      <c r="I404" s="158"/>
      <c r="J404" s="76" t="e">
        <f>INDEX(Tabla3[IMPORTE EXPRESO],MATCH(RENTABILIDAD[[#This Row],[ID VIAJE ]],Tabla3[ID VIAJE],0))</f>
        <v>#N/A</v>
      </c>
      <c r="K404" s="154" t="e">
        <f>RENTABILIDAD[[#This Row],[IMPORTE FACTURADO INT]]-RENTABILIDAD[[#This Row],[IMPORTE EXPRESOS]]</f>
        <v>#N/A</v>
      </c>
    </row>
    <row r="405" spans="1:11" hidden="1" x14ac:dyDescent="0.2">
      <c r="A405" s="156"/>
      <c r="B405" s="157"/>
      <c r="C405" s="157"/>
      <c r="D405" s="157"/>
      <c r="E405" s="157"/>
      <c r="F405" s="157"/>
      <c r="G405" s="157"/>
      <c r="H405" s="157"/>
      <c r="I405" s="158"/>
      <c r="J405" s="76" t="e">
        <f>INDEX(Tabla3[IMPORTE EXPRESO],MATCH(RENTABILIDAD[[#This Row],[ID VIAJE ]],Tabla3[ID VIAJE],0))</f>
        <v>#N/A</v>
      </c>
      <c r="K405" s="154" t="e">
        <f>RENTABILIDAD[[#This Row],[IMPORTE FACTURADO INT]]-RENTABILIDAD[[#This Row],[IMPORTE EXPRESOS]]</f>
        <v>#N/A</v>
      </c>
    </row>
    <row r="406" spans="1:11" hidden="1" x14ac:dyDescent="0.2">
      <c r="A406" s="156"/>
      <c r="B406" s="157"/>
      <c r="C406" s="157"/>
      <c r="D406" s="157"/>
      <c r="E406" s="157"/>
      <c r="F406" s="157"/>
      <c r="G406" s="157"/>
      <c r="H406" s="157"/>
      <c r="I406" s="158"/>
      <c r="J406" s="76" t="e">
        <f>INDEX(Tabla3[IMPORTE EXPRESO],MATCH(RENTABILIDAD[[#This Row],[ID VIAJE ]],Tabla3[ID VIAJE],0))</f>
        <v>#N/A</v>
      </c>
      <c r="K406" s="154" t="e">
        <f>RENTABILIDAD[[#This Row],[IMPORTE FACTURADO INT]]-RENTABILIDAD[[#This Row],[IMPORTE EXPRESOS]]</f>
        <v>#N/A</v>
      </c>
    </row>
    <row r="407" spans="1:11" hidden="1" x14ac:dyDescent="0.2">
      <c r="A407" s="156"/>
      <c r="B407" s="157"/>
      <c r="C407" s="157"/>
      <c r="D407" s="157"/>
      <c r="E407" s="157"/>
      <c r="F407" s="157"/>
      <c r="G407" s="157"/>
      <c r="H407" s="157"/>
      <c r="I407" s="158"/>
      <c r="J407" s="76" t="e">
        <f>INDEX(Tabla3[IMPORTE EXPRESO],MATCH(RENTABILIDAD[[#This Row],[ID VIAJE ]],Tabla3[ID VIAJE],0))</f>
        <v>#N/A</v>
      </c>
      <c r="K407" s="154" t="e">
        <f>RENTABILIDAD[[#This Row],[IMPORTE FACTURADO INT]]-RENTABILIDAD[[#This Row],[IMPORTE EXPRESOS]]</f>
        <v>#N/A</v>
      </c>
    </row>
    <row r="408" spans="1:11" hidden="1" x14ac:dyDescent="0.2">
      <c r="A408" s="156"/>
      <c r="B408" s="157"/>
      <c r="C408" s="157"/>
      <c r="D408" s="157"/>
      <c r="E408" s="157"/>
      <c r="F408" s="157"/>
      <c r="G408" s="157"/>
      <c r="H408" s="157"/>
      <c r="I408" s="158"/>
      <c r="J408" s="76" t="e">
        <f>INDEX(Tabla3[IMPORTE EXPRESO],MATCH(RENTABILIDAD[[#This Row],[ID VIAJE ]],Tabla3[ID VIAJE],0))</f>
        <v>#N/A</v>
      </c>
      <c r="K408" s="154" t="e">
        <f>RENTABILIDAD[[#This Row],[IMPORTE FACTURADO INT]]-RENTABILIDAD[[#This Row],[IMPORTE EXPRESOS]]</f>
        <v>#N/A</v>
      </c>
    </row>
    <row r="409" spans="1:11" hidden="1" x14ac:dyDescent="0.2">
      <c r="A409" s="156"/>
      <c r="B409" s="157"/>
      <c r="C409" s="157"/>
      <c r="D409" s="157"/>
      <c r="E409" s="157"/>
      <c r="F409" s="157"/>
      <c r="G409" s="157"/>
      <c r="H409" s="157"/>
      <c r="I409" s="158"/>
      <c r="J409" s="76" t="e">
        <f>INDEX(Tabla3[IMPORTE EXPRESO],MATCH(RENTABILIDAD[[#This Row],[ID VIAJE ]],Tabla3[ID VIAJE],0))</f>
        <v>#N/A</v>
      </c>
      <c r="K409" s="154" t="e">
        <f>RENTABILIDAD[[#This Row],[IMPORTE FACTURADO INT]]-RENTABILIDAD[[#This Row],[IMPORTE EXPRESOS]]</f>
        <v>#N/A</v>
      </c>
    </row>
    <row r="410" spans="1:11" hidden="1" x14ac:dyDescent="0.2">
      <c r="A410" s="156"/>
      <c r="B410" s="157"/>
      <c r="C410" s="157"/>
      <c r="D410" s="157"/>
      <c r="E410" s="157"/>
      <c r="F410" s="157"/>
      <c r="G410" s="157"/>
      <c r="H410" s="157"/>
      <c r="I410" s="158"/>
      <c r="J410" s="76" t="e">
        <f>INDEX(Tabla3[IMPORTE EXPRESO],MATCH(RENTABILIDAD[[#This Row],[ID VIAJE ]],Tabla3[ID VIAJE],0))</f>
        <v>#N/A</v>
      </c>
      <c r="K410" s="154" t="e">
        <f>RENTABILIDAD[[#This Row],[IMPORTE FACTURADO INT]]-RENTABILIDAD[[#This Row],[IMPORTE EXPRESOS]]</f>
        <v>#N/A</v>
      </c>
    </row>
    <row r="411" spans="1:11" hidden="1" x14ac:dyDescent="0.2">
      <c r="A411" s="156"/>
      <c r="B411" s="157"/>
      <c r="C411" s="157"/>
      <c r="D411" s="157"/>
      <c r="E411" s="157"/>
      <c r="F411" s="157"/>
      <c r="G411" s="157"/>
      <c r="H411" s="157"/>
      <c r="I411" s="158"/>
      <c r="J411" s="76" t="e">
        <f>INDEX(Tabla3[IMPORTE EXPRESO],MATCH(RENTABILIDAD[[#This Row],[ID VIAJE ]],Tabla3[ID VIAJE],0))</f>
        <v>#N/A</v>
      </c>
      <c r="K411" s="154" t="e">
        <f>RENTABILIDAD[[#This Row],[IMPORTE FACTURADO INT]]-RENTABILIDAD[[#This Row],[IMPORTE EXPRESOS]]</f>
        <v>#N/A</v>
      </c>
    </row>
    <row r="412" spans="1:11" hidden="1" x14ac:dyDescent="0.2">
      <c r="A412" s="156"/>
      <c r="B412" s="157"/>
      <c r="C412" s="157"/>
      <c r="D412" s="157"/>
      <c r="E412" s="157"/>
      <c r="F412" s="157"/>
      <c r="G412" s="157"/>
      <c r="H412" s="157"/>
      <c r="I412" s="158"/>
      <c r="J412" s="76" t="e">
        <f>INDEX(Tabla3[IMPORTE EXPRESO],MATCH(RENTABILIDAD[[#This Row],[ID VIAJE ]],Tabla3[ID VIAJE],0))</f>
        <v>#N/A</v>
      </c>
      <c r="K412" s="154" t="e">
        <f>RENTABILIDAD[[#This Row],[IMPORTE FACTURADO INT]]-RENTABILIDAD[[#This Row],[IMPORTE EXPRESOS]]</f>
        <v>#N/A</v>
      </c>
    </row>
    <row r="413" spans="1:11" hidden="1" x14ac:dyDescent="0.2">
      <c r="A413" s="156"/>
      <c r="B413" s="157"/>
      <c r="C413" s="157"/>
      <c r="D413" s="157"/>
      <c r="E413" s="157"/>
      <c r="F413" s="157"/>
      <c r="G413" s="157"/>
      <c r="H413" s="157"/>
      <c r="I413" s="158"/>
      <c r="J413" s="76" t="e">
        <f>INDEX(Tabla3[IMPORTE EXPRESO],MATCH(RENTABILIDAD[[#This Row],[ID VIAJE ]],Tabla3[ID VIAJE],0))</f>
        <v>#N/A</v>
      </c>
      <c r="K413" s="154" t="e">
        <f>RENTABILIDAD[[#This Row],[IMPORTE FACTURADO INT]]-RENTABILIDAD[[#This Row],[IMPORTE EXPRESOS]]</f>
        <v>#N/A</v>
      </c>
    </row>
    <row r="414" spans="1:11" hidden="1" x14ac:dyDescent="0.2">
      <c r="A414" s="156"/>
      <c r="B414" s="157"/>
      <c r="C414" s="157"/>
      <c r="D414" s="157"/>
      <c r="E414" s="157"/>
      <c r="F414" s="157"/>
      <c r="G414" s="157"/>
      <c r="H414" s="157"/>
      <c r="I414" s="158"/>
      <c r="J414" s="76" t="e">
        <f>INDEX(Tabla3[IMPORTE EXPRESO],MATCH(RENTABILIDAD[[#This Row],[ID VIAJE ]],Tabla3[ID VIAJE],0))</f>
        <v>#N/A</v>
      </c>
      <c r="K414" s="154" t="e">
        <f>RENTABILIDAD[[#This Row],[IMPORTE FACTURADO INT]]-RENTABILIDAD[[#This Row],[IMPORTE EXPRESOS]]</f>
        <v>#N/A</v>
      </c>
    </row>
    <row r="415" spans="1:11" hidden="1" x14ac:dyDescent="0.2">
      <c r="A415" s="156"/>
      <c r="B415" s="157"/>
      <c r="C415" s="157"/>
      <c r="D415" s="157"/>
      <c r="E415" s="157"/>
      <c r="F415" s="157"/>
      <c r="G415" s="157"/>
      <c r="H415" s="157"/>
      <c r="I415" s="158"/>
      <c r="J415" s="76" t="e">
        <f>INDEX(Tabla3[IMPORTE EXPRESO],MATCH(RENTABILIDAD[[#This Row],[ID VIAJE ]],Tabla3[ID VIAJE],0))</f>
        <v>#N/A</v>
      </c>
      <c r="K415" s="154" t="e">
        <f>RENTABILIDAD[[#This Row],[IMPORTE FACTURADO INT]]-RENTABILIDAD[[#This Row],[IMPORTE EXPRESOS]]</f>
        <v>#N/A</v>
      </c>
    </row>
    <row r="416" spans="1:11" hidden="1" x14ac:dyDescent="0.2">
      <c r="A416" s="156"/>
      <c r="B416" s="157"/>
      <c r="C416" s="157"/>
      <c r="D416" s="157"/>
      <c r="E416" s="157"/>
      <c r="F416" s="157"/>
      <c r="G416" s="157"/>
      <c r="H416" s="157"/>
      <c r="I416" s="158"/>
      <c r="J416" s="76" t="e">
        <f>INDEX(Tabla3[IMPORTE EXPRESO],MATCH(RENTABILIDAD[[#This Row],[ID VIAJE ]],Tabla3[ID VIAJE],0))</f>
        <v>#N/A</v>
      </c>
      <c r="K416" s="154" t="e">
        <f>RENTABILIDAD[[#This Row],[IMPORTE FACTURADO INT]]-RENTABILIDAD[[#This Row],[IMPORTE EXPRESOS]]</f>
        <v>#N/A</v>
      </c>
    </row>
    <row r="417" spans="1:11" hidden="1" x14ac:dyDescent="0.2">
      <c r="A417" s="156"/>
      <c r="B417" s="157"/>
      <c r="C417" s="157"/>
      <c r="D417" s="157"/>
      <c r="E417" s="157"/>
      <c r="F417" s="157"/>
      <c r="G417" s="157"/>
      <c r="H417" s="157"/>
      <c r="I417" s="158"/>
      <c r="J417" s="76" t="e">
        <f>INDEX(Tabla3[IMPORTE EXPRESO],MATCH(RENTABILIDAD[[#This Row],[ID VIAJE ]],Tabla3[ID VIAJE],0))</f>
        <v>#N/A</v>
      </c>
      <c r="K417" s="154" t="e">
        <f>RENTABILIDAD[[#This Row],[IMPORTE FACTURADO INT]]-RENTABILIDAD[[#This Row],[IMPORTE EXPRESOS]]</f>
        <v>#N/A</v>
      </c>
    </row>
    <row r="418" spans="1:11" hidden="1" x14ac:dyDescent="0.2">
      <c r="A418" s="156"/>
      <c r="B418" s="157"/>
      <c r="C418" s="157"/>
      <c r="D418" s="157"/>
      <c r="E418" s="157"/>
      <c r="F418" s="157"/>
      <c r="G418" s="157"/>
      <c r="H418" s="157"/>
      <c r="I418" s="158"/>
      <c r="J418" s="76" t="e">
        <f>INDEX(Tabla3[IMPORTE EXPRESO],MATCH(RENTABILIDAD[[#This Row],[ID VIAJE ]],Tabla3[ID VIAJE],0))</f>
        <v>#N/A</v>
      </c>
      <c r="K418" s="154" t="e">
        <f>RENTABILIDAD[[#This Row],[IMPORTE FACTURADO INT]]-RENTABILIDAD[[#This Row],[IMPORTE EXPRESOS]]</f>
        <v>#N/A</v>
      </c>
    </row>
    <row r="419" spans="1:11" hidden="1" x14ac:dyDescent="0.2">
      <c r="A419" s="156"/>
      <c r="B419" s="157"/>
      <c r="C419" s="157"/>
      <c r="D419" s="157"/>
      <c r="E419" s="157"/>
      <c r="F419" s="157"/>
      <c r="G419" s="157"/>
      <c r="H419" s="157"/>
      <c r="I419" s="158"/>
      <c r="J419" s="76" t="e">
        <f>INDEX(Tabla3[IMPORTE EXPRESO],MATCH(RENTABILIDAD[[#This Row],[ID VIAJE ]],Tabla3[ID VIAJE],0))</f>
        <v>#N/A</v>
      </c>
      <c r="K419" s="154" t="e">
        <f>RENTABILIDAD[[#This Row],[IMPORTE FACTURADO INT]]-RENTABILIDAD[[#This Row],[IMPORTE EXPRESOS]]</f>
        <v>#N/A</v>
      </c>
    </row>
    <row r="420" spans="1:11" hidden="1" x14ac:dyDescent="0.2">
      <c r="A420" s="156"/>
      <c r="B420" s="157"/>
      <c r="C420" s="157"/>
      <c r="D420" s="157"/>
      <c r="E420" s="157"/>
      <c r="F420" s="157"/>
      <c r="G420" s="157"/>
      <c r="H420" s="157"/>
      <c r="I420" s="158"/>
      <c r="J420" s="76" t="e">
        <f>INDEX(Tabla3[IMPORTE EXPRESO],MATCH(RENTABILIDAD[[#This Row],[ID VIAJE ]],Tabla3[ID VIAJE],0))</f>
        <v>#N/A</v>
      </c>
      <c r="K420" s="154" t="e">
        <f>RENTABILIDAD[[#This Row],[IMPORTE FACTURADO INT]]-RENTABILIDAD[[#This Row],[IMPORTE EXPRESOS]]</f>
        <v>#N/A</v>
      </c>
    </row>
    <row r="421" spans="1:11" hidden="1" x14ac:dyDescent="0.2">
      <c r="A421" s="156"/>
      <c r="B421" s="157"/>
      <c r="C421" s="157"/>
      <c r="D421" s="157"/>
      <c r="E421" s="157"/>
      <c r="F421" s="157"/>
      <c r="G421" s="157"/>
      <c r="H421" s="157"/>
      <c r="I421" s="158"/>
      <c r="J421" s="76" t="e">
        <f>INDEX(Tabla3[IMPORTE EXPRESO],MATCH(RENTABILIDAD[[#This Row],[ID VIAJE ]],Tabla3[ID VIAJE],0))</f>
        <v>#N/A</v>
      </c>
      <c r="K421" s="154" t="e">
        <f>RENTABILIDAD[[#This Row],[IMPORTE FACTURADO INT]]-RENTABILIDAD[[#This Row],[IMPORTE EXPRESOS]]</f>
        <v>#N/A</v>
      </c>
    </row>
    <row r="422" spans="1:11" hidden="1" x14ac:dyDescent="0.2">
      <c r="A422" s="156"/>
      <c r="B422" s="157"/>
      <c r="C422" s="157"/>
      <c r="D422" s="157"/>
      <c r="E422" s="157"/>
      <c r="F422" s="157"/>
      <c r="G422" s="157"/>
      <c r="H422" s="157"/>
      <c r="I422" s="158"/>
      <c r="J422" s="76" t="e">
        <f>INDEX(Tabla3[IMPORTE EXPRESO],MATCH(RENTABILIDAD[[#This Row],[ID VIAJE ]],Tabla3[ID VIAJE],0))</f>
        <v>#N/A</v>
      </c>
      <c r="K422" s="154" t="e">
        <f>RENTABILIDAD[[#This Row],[IMPORTE FACTURADO INT]]-RENTABILIDAD[[#This Row],[IMPORTE EXPRESOS]]</f>
        <v>#N/A</v>
      </c>
    </row>
    <row r="423" spans="1:11" hidden="1" x14ac:dyDescent="0.2">
      <c r="A423" s="156"/>
      <c r="B423" s="157"/>
      <c r="C423" s="157"/>
      <c r="D423" s="157"/>
      <c r="E423" s="157"/>
      <c r="F423" s="157"/>
      <c r="G423" s="157"/>
      <c r="H423" s="157"/>
      <c r="I423" s="158"/>
      <c r="J423" s="76" t="e">
        <f>INDEX(Tabla3[IMPORTE EXPRESO],MATCH(RENTABILIDAD[[#This Row],[ID VIAJE ]],Tabla3[ID VIAJE],0))</f>
        <v>#N/A</v>
      </c>
      <c r="K423" s="154" t="e">
        <f>RENTABILIDAD[[#This Row],[IMPORTE FACTURADO INT]]-RENTABILIDAD[[#This Row],[IMPORTE EXPRESOS]]</f>
        <v>#N/A</v>
      </c>
    </row>
    <row r="424" spans="1:11" hidden="1" x14ac:dyDescent="0.2">
      <c r="A424" s="156"/>
      <c r="B424" s="157"/>
      <c r="C424" s="157"/>
      <c r="D424" s="157"/>
      <c r="E424" s="157"/>
      <c r="F424" s="157"/>
      <c r="G424" s="157"/>
      <c r="H424" s="157"/>
      <c r="I424" s="158"/>
      <c r="J424" s="76" t="e">
        <f>INDEX(Tabla3[IMPORTE EXPRESO],MATCH(RENTABILIDAD[[#This Row],[ID VIAJE ]],Tabla3[ID VIAJE],0))</f>
        <v>#N/A</v>
      </c>
      <c r="K424" s="154" t="e">
        <f>RENTABILIDAD[[#This Row],[IMPORTE FACTURADO INT]]-RENTABILIDAD[[#This Row],[IMPORTE EXPRESOS]]</f>
        <v>#N/A</v>
      </c>
    </row>
    <row r="425" spans="1:11" hidden="1" x14ac:dyDescent="0.2">
      <c r="A425" s="156"/>
      <c r="B425" s="157"/>
      <c r="C425" s="157"/>
      <c r="D425" s="157"/>
      <c r="E425" s="157"/>
      <c r="F425" s="157"/>
      <c r="G425" s="157"/>
      <c r="H425" s="157"/>
      <c r="I425" s="158"/>
      <c r="J425" s="76" t="e">
        <f>INDEX(Tabla3[IMPORTE EXPRESO],MATCH(RENTABILIDAD[[#This Row],[ID VIAJE ]],Tabla3[ID VIAJE],0))</f>
        <v>#N/A</v>
      </c>
      <c r="K425" s="154" t="e">
        <f>RENTABILIDAD[[#This Row],[IMPORTE FACTURADO INT]]-RENTABILIDAD[[#This Row],[IMPORTE EXPRESOS]]</f>
        <v>#N/A</v>
      </c>
    </row>
    <row r="426" spans="1:11" hidden="1" x14ac:dyDescent="0.2">
      <c r="A426" s="156"/>
      <c r="B426" s="157"/>
      <c r="C426" s="157"/>
      <c r="D426" s="157"/>
      <c r="E426" s="157"/>
      <c r="F426" s="157"/>
      <c r="G426" s="157"/>
      <c r="H426" s="157"/>
      <c r="I426" s="158"/>
      <c r="J426" s="76" t="e">
        <f>INDEX(Tabla3[IMPORTE EXPRESO],MATCH(RENTABILIDAD[[#This Row],[ID VIAJE ]],Tabla3[ID VIAJE],0))</f>
        <v>#N/A</v>
      </c>
      <c r="K426" s="154" t="e">
        <f>RENTABILIDAD[[#This Row],[IMPORTE FACTURADO INT]]-RENTABILIDAD[[#This Row],[IMPORTE EXPRESOS]]</f>
        <v>#N/A</v>
      </c>
    </row>
    <row r="427" spans="1:11" hidden="1" x14ac:dyDescent="0.2">
      <c r="A427" s="156"/>
      <c r="B427" s="157"/>
      <c r="C427" s="157"/>
      <c r="D427" s="157"/>
      <c r="E427" s="157"/>
      <c r="F427" s="157"/>
      <c r="G427" s="157"/>
      <c r="H427" s="157"/>
      <c r="I427" s="158"/>
      <c r="J427" s="76" t="e">
        <f>INDEX(Tabla3[IMPORTE EXPRESO],MATCH(RENTABILIDAD[[#This Row],[ID VIAJE ]],Tabla3[ID VIAJE],0))</f>
        <v>#N/A</v>
      </c>
      <c r="K427" s="154" t="e">
        <f>RENTABILIDAD[[#This Row],[IMPORTE FACTURADO INT]]-RENTABILIDAD[[#This Row],[IMPORTE EXPRESOS]]</f>
        <v>#N/A</v>
      </c>
    </row>
    <row r="428" spans="1:11" hidden="1" x14ac:dyDescent="0.2">
      <c r="A428" s="156"/>
      <c r="B428" s="157"/>
      <c r="C428" s="157"/>
      <c r="D428" s="157"/>
      <c r="E428" s="157"/>
      <c r="F428" s="157"/>
      <c r="G428" s="157"/>
      <c r="H428" s="157"/>
      <c r="I428" s="158"/>
      <c r="J428" s="76" t="e">
        <f>INDEX(Tabla3[IMPORTE EXPRESO],MATCH(RENTABILIDAD[[#This Row],[ID VIAJE ]],Tabla3[ID VIAJE],0))</f>
        <v>#N/A</v>
      </c>
      <c r="K428" s="154" t="e">
        <f>RENTABILIDAD[[#This Row],[IMPORTE FACTURADO INT]]-RENTABILIDAD[[#This Row],[IMPORTE EXPRESOS]]</f>
        <v>#N/A</v>
      </c>
    </row>
    <row r="429" spans="1:11" hidden="1" x14ac:dyDescent="0.2">
      <c r="A429" s="156"/>
      <c r="B429" s="157"/>
      <c r="C429" s="157"/>
      <c r="D429" s="157"/>
      <c r="E429" s="157"/>
      <c r="F429" s="157"/>
      <c r="G429" s="157"/>
      <c r="H429" s="157"/>
      <c r="I429" s="158"/>
      <c r="J429" s="76" t="e">
        <f>INDEX(Tabla3[IMPORTE EXPRESO],MATCH(RENTABILIDAD[[#This Row],[ID VIAJE ]],Tabla3[ID VIAJE],0))</f>
        <v>#N/A</v>
      </c>
      <c r="K429" s="154" t="e">
        <f>RENTABILIDAD[[#This Row],[IMPORTE FACTURADO INT]]-RENTABILIDAD[[#This Row],[IMPORTE EXPRESOS]]</f>
        <v>#N/A</v>
      </c>
    </row>
    <row r="430" spans="1:11" hidden="1" x14ac:dyDescent="0.2">
      <c r="A430" s="156"/>
      <c r="B430" s="157"/>
      <c r="C430" s="157"/>
      <c r="D430" s="157"/>
      <c r="E430" s="157"/>
      <c r="F430" s="157"/>
      <c r="G430" s="157"/>
      <c r="H430" s="157"/>
      <c r="I430" s="158"/>
      <c r="J430" s="76" t="e">
        <f>INDEX(Tabla3[IMPORTE EXPRESO],MATCH(RENTABILIDAD[[#This Row],[ID VIAJE ]],Tabla3[ID VIAJE],0))</f>
        <v>#N/A</v>
      </c>
      <c r="K430" s="154" t="e">
        <f>RENTABILIDAD[[#This Row],[IMPORTE FACTURADO INT]]-RENTABILIDAD[[#This Row],[IMPORTE EXPRESOS]]</f>
        <v>#N/A</v>
      </c>
    </row>
    <row r="431" spans="1:11" hidden="1" x14ac:dyDescent="0.2">
      <c r="A431" s="156"/>
      <c r="B431" s="157"/>
      <c r="C431" s="157"/>
      <c r="D431" s="157"/>
      <c r="E431" s="157"/>
      <c r="F431" s="157"/>
      <c r="G431" s="157"/>
      <c r="H431" s="157"/>
      <c r="I431" s="158"/>
      <c r="J431" s="76" t="e">
        <f>INDEX(Tabla3[IMPORTE EXPRESO],MATCH(RENTABILIDAD[[#This Row],[ID VIAJE ]],Tabla3[ID VIAJE],0))</f>
        <v>#N/A</v>
      </c>
      <c r="K431" s="154" t="e">
        <f>RENTABILIDAD[[#This Row],[IMPORTE FACTURADO INT]]-RENTABILIDAD[[#This Row],[IMPORTE EXPRESOS]]</f>
        <v>#N/A</v>
      </c>
    </row>
    <row r="432" spans="1:11" hidden="1" x14ac:dyDescent="0.2">
      <c r="A432" s="156"/>
      <c r="B432" s="157"/>
      <c r="C432" s="157"/>
      <c r="D432" s="157"/>
      <c r="E432" s="157"/>
      <c r="F432" s="157"/>
      <c r="G432" s="157"/>
      <c r="H432" s="157"/>
      <c r="I432" s="158"/>
      <c r="J432" s="76" t="e">
        <f>INDEX(Tabla3[IMPORTE EXPRESO],MATCH(RENTABILIDAD[[#This Row],[ID VIAJE ]],Tabla3[ID VIAJE],0))</f>
        <v>#N/A</v>
      </c>
      <c r="K432" s="154" t="e">
        <f>RENTABILIDAD[[#This Row],[IMPORTE FACTURADO INT]]-RENTABILIDAD[[#This Row],[IMPORTE EXPRESOS]]</f>
        <v>#N/A</v>
      </c>
    </row>
    <row r="433" spans="1:11" hidden="1" x14ac:dyDescent="0.2">
      <c r="A433" s="156"/>
      <c r="B433" s="157"/>
      <c r="C433" s="157"/>
      <c r="D433" s="157"/>
      <c r="E433" s="157"/>
      <c r="F433" s="157"/>
      <c r="G433" s="157"/>
      <c r="H433" s="157"/>
      <c r="I433" s="158"/>
      <c r="J433" s="76" t="e">
        <f>INDEX(Tabla3[IMPORTE EXPRESO],MATCH(RENTABILIDAD[[#This Row],[ID VIAJE ]],Tabla3[ID VIAJE],0))</f>
        <v>#N/A</v>
      </c>
      <c r="K433" s="154" t="e">
        <f>RENTABILIDAD[[#This Row],[IMPORTE FACTURADO INT]]-RENTABILIDAD[[#This Row],[IMPORTE EXPRESOS]]</f>
        <v>#N/A</v>
      </c>
    </row>
    <row r="434" spans="1:11" hidden="1" x14ac:dyDescent="0.2">
      <c r="A434" s="156"/>
      <c r="B434" s="157"/>
      <c r="C434" s="157"/>
      <c r="D434" s="157"/>
      <c r="E434" s="157"/>
      <c r="F434" s="157"/>
      <c r="G434" s="157"/>
      <c r="H434" s="157"/>
      <c r="I434" s="158"/>
      <c r="J434" s="76" t="e">
        <f>INDEX(Tabla3[IMPORTE EXPRESO],MATCH(RENTABILIDAD[[#This Row],[ID VIAJE ]],Tabla3[ID VIAJE],0))</f>
        <v>#N/A</v>
      </c>
      <c r="K434" s="154" t="e">
        <f>RENTABILIDAD[[#This Row],[IMPORTE FACTURADO INT]]-RENTABILIDAD[[#This Row],[IMPORTE EXPRESOS]]</f>
        <v>#N/A</v>
      </c>
    </row>
    <row r="435" spans="1:11" hidden="1" x14ac:dyDescent="0.2">
      <c r="A435" s="156"/>
      <c r="B435" s="157"/>
      <c r="C435" s="157"/>
      <c r="D435" s="157"/>
      <c r="E435" s="157"/>
      <c r="F435" s="157"/>
      <c r="G435" s="157"/>
      <c r="H435" s="157"/>
      <c r="I435" s="158"/>
      <c r="J435" s="76" t="e">
        <f>INDEX(Tabla3[IMPORTE EXPRESO],MATCH(RENTABILIDAD[[#This Row],[ID VIAJE ]],Tabla3[ID VIAJE],0))</f>
        <v>#N/A</v>
      </c>
      <c r="K435" s="154" t="e">
        <f>RENTABILIDAD[[#This Row],[IMPORTE FACTURADO INT]]-RENTABILIDAD[[#This Row],[IMPORTE EXPRESOS]]</f>
        <v>#N/A</v>
      </c>
    </row>
    <row r="436" spans="1:11" hidden="1" x14ac:dyDescent="0.2">
      <c r="A436" s="156"/>
      <c r="B436" s="157"/>
      <c r="C436" s="157"/>
      <c r="D436" s="157"/>
      <c r="E436" s="157"/>
      <c r="F436" s="157"/>
      <c r="G436" s="157"/>
      <c r="H436" s="157"/>
      <c r="I436" s="158"/>
      <c r="J436" s="76" t="e">
        <f>INDEX(Tabla3[IMPORTE EXPRESO],MATCH(RENTABILIDAD[[#This Row],[ID VIAJE ]],Tabla3[ID VIAJE],0))</f>
        <v>#N/A</v>
      </c>
      <c r="K436" s="154" t="e">
        <f>RENTABILIDAD[[#This Row],[IMPORTE FACTURADO INT]]-RENTABILIDAD[[#This Row],[IMPORTE EXPRESOS]]</f>
        <v>#N/A</v>
      </c>
    </row>
    <row r="437" spans="1:11" hidden="1" x14ac:dyDescent="0.2">
      <c r="A437" s="156"/>
      <c r="B437" s="157"/>
      <c r="C437" s="157"/>
      <c r="D437" s="157"/>
      <c r="E437" s="157"/>
      <c r="F437" s="157"/>
      <c r="G437" s="157"/>
      <c r="H437" s="157"/>
      <c r="I437" s="158"/>
      <c r="J437" s="76" t="e">
        <f>INDEX(Tabla3[IMPORTE EXPRESO],MATCH(RENTABILIDAD[[#This Row],[ID VIAJE ]],Tabla3[ID VIAJE],0))</f>
        <v>#N/A</v>
      </c>
      <c r="K437" s="154" t="e">
        <f>RENTABILIDAD[[#This Row],[IMPORTE FACTURADO INT]]-RENTABILIDAD[[#This Row],[IMPORTE EXPRESOS]]</f>
        <v>#N/A</v>
      </c>
    </row>
    <row r="438" spans="1:11" hidden="1" x14ac:dyDescent="0.2">
      <c r="A438" s="156"/>
      <c r="B438" s="157"/>
      <c r="C438" s="157"/>
      <c r="D438" s="157"/>
      <c r="E438" s="157"/>
      <c r="F438" s="157"/>
      <c r="G438" s="157"/>
      <c r="H438" s="157"/>
      <c r="I438" s="158"/>
      <c r="J438" s="76" t="e">
        <f>INDEX(Tabla3[IMPORTE EXPRESO],MATCH(RENTABILIDAD[[#This Row],[ID VIAJE ]],Tabla3[ID VIAJE],0))</f>
        <v>#N/A</v>
      </c>
      <c r="K438" s="154" t="e">
        <f>RENTABILIDAD[[#This Row],[IMPORTE FACTURADO INT]]-RENTABILIDAD[[#This Row],[IMPORTE EXPRESOS]]</f>
        <v>#N/A</v>
      </c>
    </row>
    <row r="439" spans="1:11" hidden="1" x14ac:dyDescent="0.2">
      <c r="A439" s="156"/>
      <c r="B439" s="157"/>
      <c r="C439" s="157"/>
      <c r="D439" s="157"/>
      <c r="E439" s="157"/>
      <c r="F439" s="157"/>
      <c r="G439" s="157"/>
      <c r="H439" s="157"/>
      <c r="I439" s="158"/>
      <c r="J439" s="76" t="e">
        <f>INDEX(Tabla3[IMPORTE EXPRESO],MATCH(RENTABILIDAD[[#This Row],[ID VIAJE ]],Tabla3[ID VIAJE],0))</f>
        <v>#N/A</v>
      </c>
      <c r="K439" s="154" t="e">
        <f>RENTABILIDAD[[#This Row],[IMPORTE FACTURADO INT]]-RENTABILIDAD[[#This Row],[IMPORTE EXPRESOS]]</f>
        <v>#N/A</v>
      </c>
    </row>
    <row r="440" spans="1:11" hidden="1" x14ac:dyDescent="0.2">
      <c r="A440" s="156"/>
      <c r="B440" s="157"/>
      <c r="C440" s="157"/>
      <c r="D440" s="157"/>
      <c r="E440" s="157"/>
      <c r="F440" s="157"/>
      <c r="G440" s="157"/>
      <c r="H440" s="157"/>
      <c r="I440" s="158"/>
      <c r="J440" s="76" t="e">
        <f>INDEX(Tabla3[IMPORTE EXPRESO],MATCH(RENTABILIDAD[[#This Row],[ID VIAJE ]],Tabla3[ID VIAJE],0))</f>
        <v>#N/A</v>
      </c>
      <c r="K440" s="154" t="e">
        <f>RENTABILIDAD[[#This Row],[IMPORTE FACTURADO INT]]-RENTABILIDAD[[#This Row],[IMPORTE EXPRESOS]]</f>
        <v>#N/A</v>
      </c>
    </row>
    <row r="441" spans="1:11" hidden="1" x14ac:dyDescent="0.2">
      <c r="A441" s="156"/>
      <c r="B441" s="157"/>
      <c r="C441" s="157"/>
      <c r="D441" s="157"/>
      <c r="E441" s="157"/>
      <c r="F441" s="157"/>
      <c r="G441" s="157"/>
      <c r="H441" s="157"/>
      <c r="I441" s="158"/>
      <c r="J441" s="76" t="e">
        <f>INDEX(Tabla3[IMPORTE EXPRESO],MATCH(RENTABILIDAD[[#This Row],[ID VIAJE ]],Tabla3[ID VIAJE],0))</f>
        <v>#N/A</v>
      </c>
      <c r="K441" s="154" t="e">
        <f>RENTABILIDAD[[#This Row],[IMPORTE FACTURADO INT]]-RENTABILIDAD[[#This Row],[IMPORTE EXPRESOS]]</f>
        <v>#N/A</v>
      </c>
    </row>
    <row r="442" spans="1:11" hidden="1" x14ac:dyDescent="0.2">
      <c r="A442" s="156"/>
      <c r="B442" s="157"/>
      <c r="C442" s="157"/>
      <c r="D442" s="157"/>
      <c r="E442" s="157"/>
      <c r="F442" s="157"/>
      <c r="G442" s="157"/>
      <c r="H442" s="157"/>
      <c r="I442" s="158"/>
      <c r="J442" s="76" t="e">
        <f>INDEX(Tabla3[IMPORTE EXPRESO],MATCH(RENTABILIDAD[[#This Row],[ID VIAJE ]],Tabla3[ID VIAJE],0))</f>
        <v>#N/A</v>
      </c>
      <c r="K442" s="154" t="e">
        <f>RENTABILIDAD[[#This Row],[IMPORTE FACTURADO INT]]-RENTABILIDAD[[#This Row],[IMPORTE EXPRESOS]]</f>
        <v>#N/A</v>
      </c>
    </row>
    <row r="443" spans="1:11" hidden="1" x14ac:dyDescent="0.2">
      <c r="A443" s="156"/>
      <c r="B443" s="157"/>
      <c r="C443" s="157"/>
      <c r="D443" s="157"/>
      <c r="E443" s="157"/>
      <c r="F443" s="157"/>
      <c r="G443" s="157"/>
      <c r="H443" s="157"/>
      <c r="I443" s="158"/>
      <c r="J443" s="76" t="e">
        <f>INDEX(Tabla3[IMPORTE EXPRESO],MATCH(RENTABILIDAD[[#This Row],[ID VIAJE ]],Tabla3[ID VIAJE],0))</f>
        <v>#N/A</v>
      </c>
      <c r="K443" s="154" t="e">
        <f>RENTABILIDAD[[#This Row],[IMPORTE FACTURADO INT]]-RENTABILIDAD[[#This Row],[IMPORTE EXPRESOS]]</f>
        <v>#N/A</v>
      </c>
    </row>
    <row r="444" spans="1:11" hidden="1" x14ac:dyDescent="0.2">
      <c r="A444" s="156"/>
      <c r="B444" s="157"/>
      <c r="C444" s="157"/>
      <c r="D444" s="157"/>
      <c r="E444" s="157"/>
      <c r="F444" s="157"/>
      <c r="G444" s="157"/>
      <c r="H444" s="157"/>
      <c r="I444" s="158"/>
      <c r="J444" s="76" t="e">
        <f>INDEX(Tabla3[IMPORTE EXPRESO],MATCH(RENTABILIDAD[[#This Row],[ID VIAJE ]],Tabla3[ID VIAJE],0))</f>
        <v>#N/A</v>
      </c>
      <c r="K444" s="154" t="e">
        <f>RENTABILIDAD[[#This Row],[IMPORTE FACTURADO INT]]-RENTABILIDAD[[#This Row],[IMPORTE EXPRESOS]]</f>
        <v>#N/A</v>
      </c>
    </row>
    <row r="445" spans="1:11" hidden="1" x14ac:dyDescent="0.2">
      <c r="A445" s="156"/>
      <c r="B445" s="157"/>
      <c r="C445" s="157"/>
      <c r="D445" s="157"/>
      <c r="E445" s="157"/>
      <c r="F445" s="157"/>
      <c r="G445" s="157"/>
      <c r="H445" s="157"/>
      <c r="I445" s="158"/>
      <c r="J445" s="76" t="e">
        <f>INDEX(Tabla3[IMPORTE EXPRESO],MATCH(RENTABILIDAD[[#This Row],[ID VIAJE ]],Tabla3[ID VIAJE],0))</f>
        <v>#N/A</v>
      </c>
      <c r="K445" s="154" t="e">
        <f>RENTABILIDAD[[#This Row],[IMPORTE FACTURADO INT]]-RENTABILIDAD[[#This Row],[IMPORTE EXPRESOS]]</f>
        <v>#N/A</v>
      </c>
    </row>
    <row r="446" spans="1:11" hidden="1" x14ac:dyDescent="0.2">
      <c r="A446" s="156"/>
      <c r="B446" s="157"/>
      <c r="C446" s="157"/>
      <c r="D446" s="157"/>
      <c r="E446" s="157"/>
      <c r="F446" s="157"/>
      <c r="G446" s="157"/>
      <c r="H446" s="157"/>
      <c r="I446" s="158"/>
      <c r="J446" s="76" t="e">
        <f>INDEX(Tabla3[IMPORTE EXPRESO],MATCH(RENTABILIDAD[[#This Row],[ID VIAJE ]],Tabla3[ID VIAJE],0))</f>
        <v>#N/A</v>
      </c>
      <c r="K446" s="154" t="e">
        <f>RENTABILIDAD[[#This Row],[IMPORTE FACTURADO INT]]-RENTABILIDAD[[#This Row],[IMPORTE EXPRESOS]]</f>
        <v>#N/A</v>
      </c>
    </row>
    <row r="447" spans="1:11" hidden="1" x14ac:dyDescent="0.2">
      <c r="A447" s="156"/>
      <c r="B447" s="157"/>
      <c r="C447" s="157"/>
      <c r="D447" s="157"/>
      <c r="E447" s="157"/>
      <c r="F447" s="157"/>
      <c r="G447" s="157"/>
      <c r="H447" s="157"/>
      <c r="I447" s="158"/>
      <c r="J447" s="76" t="e">
        <f>INDEX(Tabla3[IMPORTE EXPRESO],MATCH(RENTABILIDAD[[#This Row],[ID VIAJE ]],Tabla3[ID VIAJE],0))</f>
        <v>#N/A</v>
      </c>
      <c r="K447" s="154" t="e">
        <f>RENTABILIDAD[[#This Row],[IMPORTE FACTURADO INT]]-RENTABILIDAD[[#This Row],[IMPORTE EXPRESOS]]</f>
        <v>#N/A</v>
      </c>
    </row>
    <row r="448" spans="1:11" hidden="1" x14ac:dyDescent="0.2">
      <c r="A448" s="156"/>
      <c r="B448" s="157"/>
      <c r="C448" s="157"/>
      <c r="D448" s="157"/>
      <c r="E448" s="157"/>
      <c r="F448" s="157"/>
      <c r="G448" s="157"/>
      <c r="H448" s="157"/>
      <c r="I448" s="158"/>
      <c r="J448" s="76" t="e">
        <f>INDEX(Tabla3[IMPORTE EXPRESO],MATCH(RENTABILIDAD[[#This Row],[ID VIAJE ]],Tabla3[ID VIAJE],0))</f>
        <v>#N/A</v>
      </c>
      <c r="K448" s="154" t="e">
        <f>RENTABILIDAD[[#This Row],[IMPORTE FACTURADO INT]]-RENTABILIDAD[[#This Row],[IMPORTE EXPRESOS]]</f>
        <v>#N/A</v>
      </c>
    </row>
    <row r="449" spans="1:11" hidden="1" x14ac:dyDescent="0.2">
      <c r="A449" s="156"/>
      <c r="B449" s="157"/>
      <c r="C449" s="157"/>
      <c r="D449" s="157"/>
      <c r="E449" s="157"/>
      <c r="F449" s="157"/>
      <c r="G449" s="157"/>
      <c r="H449" s="157"/>
      <c r="I449" s="158"/>
      <c r="J449" s="76" t="e">
        <f>INDEX(Tabla3[IMPORTE EXPRESO],MATCH(RENTABILIDAD[[#This Row],[ID VIAJE ]],Tabla3[ID VIAJE],0))</f>
        <v>#N/A</v>
      </c>
      <c r="K449" s="154" t="e">
        <f>RENTABILIDAD[[#This Row],[IMPORTE FACTURADO INT]]-RENTABILIDAD[[#This Row],[IMPORTE EXPRESOS]]</f>
        <v>#N/A</v>
      </c>
    </row>
    <row r="450" spans="1:11" hidden="1" x14ac:dyDescent="0.2">
      <c r="A450" s="156"/>
      <c r="B450" s="157"/>
      <c r="C450" s="157"/>
      <c r="D450" s="157"/>
      <c r="E450" s="157"/>
      <c r="F450" s="157"/>
      <c r="G450" s="157"/>
      <c r="H450" s="157"/>
      <c r="I450" s="158"/>
      <c r="J450" s="76" t="e">
        <f>INDEX(Tabla3[IMPORTE EXPRESO],MATCH(RENTABILIDAD[[#This Row],[ID VIAJE ]],Tabla3[ID VIAJE],0))</f>
        <v>#N/A</v>
      </c>
      <c r="K450" s="154" t="e">
        <f>RENTABILIDAD[[#This Row],[IMPORTE FACTURADO INT]]-RENTABILIDAD[[#This Row],[IMPORTE EXPRESOS]]</f>
        <v>#N/A</v>
      </c>
    </row>
    <row r="451" spans="1:11" hidden="1" x14ac:dyDescent="0.2">
      <c r="A451" s="156"/>
      <c r="B451" s="157"/>
      <c r="C451" s="157"/>
      <c r="D451" s="157"/>
      <c r="E451" s="157"/>
      <c r="F451" s="157"/>
      <c r="G451" s="157"/>
      <c r="H451" s="157"/>
      <c r="I451" s="158"/>
      <c r="J451" s="76" t="e">
        <f>INDEX(Tabla3[IMPORTE EXPRESO],MATCH(RENTABILIDAD[[#This Row],[ID VIAJE ]],Tabla3[ID VIAJE],0))</f>
        <v>#N/A</v>
      </c>
      <c r="K451" s="154" t="e">
        <f>RENTABILIDAD[[#This Row],[IMPORTE FACTURADO INT]]-RENTABILIDAD[[#This Row],[IMPORTE EXPRESOS]]</f>
        <v>#N/A</v>
      </c>
    </row>
    <row r="452" spans="1:11" hidden="1" x14ac:dyDescent="0.2">
      <c r="A452" s="156"/>
      <c r="B452" s="157"/>
      <c r="C452" s="157"/>
      <c r="D452" s="157"/>
      <c r="E452" s="157"/>
      <c r="F452" s="157"/>
      <c r="G452" s="157"/>
      <c r="H452" s="157"/>
      <c r="I452" s="158"/>
      <c r="J452" s="76" t="e">
        <f>INDEX(Tabla3[IMPORTE EXPRESO],MATCH(RENTABILIDAD[[#This Row],[ID VIAJE ]],Tabla3[ID VIAJE],0))</f>
        <v>#N/A</v>
      </c>
      <c r="K452" s="154" t="e">
        <f>RENTABILIDAD[[#This Row],[IMPORTE FACTURADO INT]]-RENTABILIDAD[[#This Row],[IMPORTE EXPRESOS]]</f>
        <v>#N/A</v>
      </c>
    </row>
    <row r="453" spans="1:11" hidden="1" x14ac:dyDescent="0.2">
      <c r="A453" s="156"/>
      <c r="B453" s="157"/>
      <c r="C453" s="157"/>
      <c r="D453" s="157"/>
      <c r="E453" s="157"/>
      <c r="F453" s="157"/>
      <c r="G453" s="157"/>
      <c r="H453" s="157"/>
      <c r="I453" s="158"/>
      <c r="J453" s="76" t="e">
        <f>INDEX(Tabla3[IMPORTE EXPRESO],MATCH(RENTABILIDAD[[#This Row],[ID VIAJE ]],Tabla3[ID VIAJE],0))</f>
        <v>#N/A</v>
      </c>
      <c r="K453" s="154" t="e">
        <f>RENTABILIDAD[[#This Row],[IMPORTE FACTURADO INT]]-RENTABILIDAD[[#This Row],[IMPORTE EXPRESOS]]</f>
        <v>#N/A</v>
      </c>
    </row>
    <row r="454" spans="1:11" hidden="1" x14ac:dyDescent="0.2">
      <c r="A454" s="156"/>
      <c r="B454" s="157"/>
      <c r="C454" s="157"/>
      <c r="D454" s="157"/>
      <c r="E454" s="157"/>
      <c r="F454" s="157"/>
      <c r="G454" s="157"/>
      <c r="H454" s="157"/>
      <c r="I454" s="158"/>
      <c r="J454" s="76" t="e">
        <f>INDEX(Tabla3[IMPORTE EXPRESO],MATCH(RENTABILIDAD[[#This Row],[ID VIAJE ]],Tabla3[ID VIAJE],0))</f>
        <v>#N/A</v>
      </c>
      <c r="K454" s="154" t="e">
        <f>RENTABILIDAD[[#This Row],[IMPORTE FACTURADO INT]]-RENTABILIDAD[[#This Row],[IMPORTE EXPRESOS]]</f>
        <v>#N/A</v>
      </c>
    </row>
    <row r="455" spans="1:11" hidden="1" x14ac:dyDescent="0.2">
      <c r="A455" s="156"/>
      <c r="B455" s="157"/>
      <c r="C455" s="157"/>
      <c r="D455" s="157"/>
      <c r="E455" s="157"/>
      <c r="F455" s="157"/>
      <c r="G455" s="157"/>
      <c r="H455" s="157"/>
      <c r="I455" s="158"/>
      <c r="J455" s="76" t="e">
        <f>INDEX(Tabla3[IMPORTE EXPRESO],MATCH(RENTABILIDAD[[#This Row],[ID VIAJE ]],Tabla3[ID VIAJE],0))</f>
        <v>#N/A</v>
      </c>
      <c r="K455" s="154" t="e">
        <f>RENTABILIDAD[[#This Row],[IMPORTE FACTURADO INT]]-RENTABILIDAD[[#This Row],[IMPORTE EXPRESOS]]</f>
        <v>#N/A</v>
      </c>
    </row>
    <row r="456" spans="1:11" hidden="1" x14ac:dyDescent="0.2">
      <c r="A456" s="156"/>
      <c r="B456" s="157"/>
      <c r="C456" s="157"/>
      <c r="D456" s="157"/>
      <c r="E456" s="157"/>
      <c r="F456" s="157"/>
      <c r="G456" s="157"/>
      <c r="H456" s="157"/>
      <c r="I456" s="158"/>
      <c r="J456" s="76" t="e">
        <f>INDEX(Tabla3[IMPORTE EXPRESO],MATCH(RENTABILIDAD[[#This Row],[ID VIAJE ]],Tabla3[ID VIAJE],0))</f>
        <v>#N/A</v>
      </c>
      <c r="K456" s="154" t="e">
        <f>RENTABILIDAD[[#This Row],[IMPORTE FACTURADO INT]]-RENTABILIDAD[[#This Row],[IMPORTE EXPRESOS]]</f>
        <v>#N/A</v>
      </c>
    </row>
    <row r="457" spans="1:11" hidden="1" x14ac:dyDescent="0.2">
      <c r="A457" s="156"/>
      <c r="B457" s="157"/>
      <c r="C457" s="157"/>
      <c r="D457" s="157"/>
      <c r="E457" s="157"/>
      <c r="F457" s="157"/>
      <c r="G457" s="157"/>
      <c r="H457" s="157"/>
      <c r="I457" s="158"/>
      <c r="J457" s="76" t="e">
        <f>INDEX(Tabla3[IMPORTE EXPRESO],MATCH(RENTABILIDAD[[#This Row],[ID VIAJE ]],Tabla3[ID VIAJE],0))</f>
        <v>#N/A</v>
      </c>
      <c r="K457" s="154" t="e">
        <f>RENTABILIDAD[[#This Row],[IMPORTE FACTURADO INT]]-RENTABILIDAD[[#This Row],[IMPORTE EXPRESOS]]</f>
        <v>#N/A</v>
      </c>
    </row>
    <row r="458" spans="1:11" hidden="1" x14ac:dyDescent="0.2">
      <c r="A458" s="156"/>
      <c r="B458" s="157"/>
      <c r="C458" s="157"/>
      <c r="D458" s="157"/>
      <c r="E458" s="157"/>
      <c r="F458" s="157"/>
      <c r="G458" s="157"/>
      <c r="H458" s="157"/>
      <c r="I458" s="158"/>
      <c r="J458" s="76" t="e">
        <f>INDEX(Tabla3[IMPORTE EXPRESO],MATCH(RENTABILIDAD[[#This Row],[ID VIAJE ]],Tabla3[ID VIAJE],0))</f>
        <v>#N/A</v>
      </c>
      <c r="K458" s="154" t="e">
        <f>RENTABILIDAD[[#This Row],[IMPORTE FACTURADO INT]]-RENTABILIDAD[[#This Row],[IMPORTE EXPRESOS]]</f>
        <v>#N/A</v>
      </c>
    </row>
    <row r="459" spans="1:11" hidden="1" x14ac:dyDescent="0.2">
      <c r="A459" s="156"/>
      <c r="B459" s="157"/>
      <c r="C459" s="157"/>
      <c r="D459" s="157"/>
      <c r="E459" s="157"/>
      <c r="F459" s="157"/>
      <c r="G459" s="157"/>
      <c r="H459" s="157"/>
      <c r="I459" s="158"/>
      <c r="J459" s="76" t="e">
        <f>INDEX(Tabla3[IMPORTE EXPRESO],MATCH(RENTABILIDAD[[#This Row],[ID VIAJE ]],Tabla3[ID VIAJE],0))</f>
        <v>#N/A</v>
      </c>
      <c r="K459" s="154" t="e">
        <f>RENTABILIDAD[[#This Row],[IMPORTE FACTURADO INT]]-RENTABILIDAD[[#This Row],[IMPORTE EXPRESOS]]</f>
        <v>#N/A</v>
      </c>
    </row>
    <row r="460" spans="1:11" hidden="1" x14ac:dyDescent="0.2">
      <c r="A460" s="156"/>
      <c r="B460" s="157"/>
      <c r="C460" s="157"/>
      <c r="D460" s="157"/>
      <c r="E460" s="157"/>
      <c r="F460" s="157"/>
      <c r="G460" s="157"/>
      <c r="H460" s="157"/>
      <c r="I460" s="158"/>
      <c r="J460" s="76" t="e">
        <f>INDEX(Tabla3[IMPORTE EXPRESO],MATCH(RENTABILIDAD[[#This Row],[ID VIAJE ]],Tabla3[ID VIAJE],0))</f>
        <v>#N/A</v>
      </c>
      <c r="K460" s="154" t="e">
        <f>RENTABILIDAD[[#This Row],[IMPORTE FACTURADO INT]]-RENTABILIDAD[[#This Row],[IMPORTE EXPRESOS]]</f>
        <v>#N/A</v>
      </c>
    </row>
    <row r="461" spans="1:11" hidden="1" x14ac:dyDescent="0.2">
      <c r="A461" s="156"/>
      <c r="B461" s="157"/>
      <c r="C461" s="157"/>
      <c r="D461" s="157"/>
      <c r="E461" s="157"/>
      <c r="F461" s="157"/>
      <c r="G461" s="157"/>
      <c r="H461" s="157"/>
      <c r="I461" s="158"/>
      <c r="J461" s="76" t="e">
        <f>INDEX(Tabla3[IMPORTE EXPRESO],MATCH(RENTABILIDAD[[#This Row],[ID VIAJE ]],Tabla3[ID VIAJE],0))</f>
        <v>#N/A</v>
      </c>
      <c r="K461" s="154" t="e">
        <f>RENTABILIDAD[[#This Row],[IMPORTE FACTURADO INT]]-RENTABILIDAD[[#This Row],[IMPORTE EXPRESOS]]</f>
        <v>#N/A</v>
      </c>
    </row>
    <row r="462" spans="1:11" hidden="1" x14ac:dyDescent="0.2">
      <c r="A462" s="156"/>
      <c r="B462" s="157"/>
      <c r="C462" s="157"/>
      <c r="D462" s="157"/>
      <c r="E462" s="157"/>
      <c r="F462" s="157"/>
      <c r="G462" s="157"/>
      <c r="H462" s="157"/>
      <c r="I462" s="158"/>
      <c r="J462" s="76" t="e">
        <f>INDEX(Tabla3[IMPORTE EXPRESO],MATCH(RENTABILIDAD[[#This Row],[ID VIAJE ]],Tabla3[ID VIAJE],0))</f>
        <v>#N/A</v>
      </c>
      <c r="K462" s="154" t="e">
        <f>RENTABILIDAD[[#This Row],[IMPORTE FACTURADO INT]]-RENTABILIDAD[[#This Row],[IMPORTE EXPRESOS]]</f>
        <v>#N/A</v>
      </c>
    </row>
    <row r="463" spans="1:11" hidden="1" x14ac:dyDescent="0.2">
      <c r="A463" s="156"/>
      <c r="B463" s="157"/>
      <c r="C463" s="157"/>
      <c r="D463" s="157"/>
      <c r="E463" s="157"/>
      <c r="F463" s="157"/>
      <c r="G463" s="157"/>
      <c r="H463" s="157"/>
      <c r="I463" s="158"/>
      <c r="J463" s="76" t="e">
        <f>INDEX(Tabla3[IMPORTE EXPRESO],MATCH(RENTABILIDAD[[#This Row],[ID VIAJE ]],Tabla3[ID VIAJE],0))</f>
        <v>#N/A</v>
      </c>
      <c r="K463" s="154" t="e">
        <f>RENTABILIDAD[[#This Row],[IMPORTE FACTURADO INT]]-RENTABILIDAD[[#This Row],[IMPORTE EXPRESOS]]</f>
        <v>#N/A</v>
      </c>
    </row>
    <row r="464" spans="1:11" hidden="1" x14ac:dyDescent="0.2">
      <c r="A464" s="156"/>
      <c r="B464" s="157"/>
      <c r="C464" s="157"/>
      <c r="D464" s="157"/>
      <c r="E464" s="157"/>
      <c r="F464" s="157"/>
      <c r="G464" s="157"/>
      <c r="H464" s="157"/>
      <c r="I464" s="158"/>
      <c r="J464" s="76" t="e">
        <f>INDEX(Tabla3[IMPORTE EXPRESO],MATCH(RENTABILIDAD[[#This Row],[ID VIAJE ]],Tabla3[ID VIAJE],0))</f>
        <v>#N/A</v>
      </c>
      <c r="K464" s="154" t="e">
        <f>RENTABILIDAD[[#This Row],[IMPORTE FACTURADO INT]]-RENTABILIDAD[[#This Row],[IMPORTE EXPRESOS]]</f>
        <v>#N/A</v>
      </c>
    </row>
    <row r="465" spans="1:11" hidden="1" x14ac:dyDescent="0.2">
      <c r="A465" s="156"/>
      <c r="B465" s="157"/>
      <c r="C465" s="157"/>
      <c r="D465" s="157"/>
      <c r="E465" s="157"/>
      <c r="F465" s="157"/>
      <c r="G465" s="157"/>
      <c r="H465" s="157"/>
      <c r="I465" s="158"/>
      <c r="J465" s="76" t="e">
        <f>INDEX(Tabla3[IMPORTE EXPRESO],MATCH(RENTABILIDAD[[#This Row],[ID VIAJE ]],Tabla3[ID VIAJE],0))</f>
        <v>#N/A</v>
      </c>
      <c r="K465" s="154" t="e">
        <f>RENTABILIDAD[[#This Row],[IMPORTE FACTURADO INT]]-RENTABILIDAD[[#This Row],[IMPORTE EXPRESOS]]</f>
        <v>#N/A</v>
      </c>
    </row>
    <row r="466" spans="1:11" hidden="1" x14ac:dyDescent="0.2">
      <c r="A466" s="156"/>
      <c r="B466" s="157"/>
      <c r="C466" s="157"/>
      <c r="D466" s="157"/>
      <c r="E466" s="157"/>
      <c r="F466" s="157"/>
      <c r="G466" s="157"/>
      <c r="H466" s="157"/>
      <c r="I466" s="158"/>
      <c r="J466" s="76" t="e">
        <f>INDEX(Tabla3[IMPORTE EXPRESO],MATCH(RENTABILIDAD[[#This Row],[ID VIAJE ]],Tabla3[ID VIAJE],0))</f>
        <v>#N/A</v>
      </c>
      <c r="K466" s="154" t="e">
        <f>RENTABILIDAD[[#This Row],[IMPORTE FACTURADO INT]]-RENTABILIDAD[[#This Row],[IMPORTE EXPRESOS]]</f>
        <v>#N/A</v>
      </c>
    </row>
    <row r="467" spans="1:11" hidden="1" x14ac:dyDescent="0.2">
      <c r="A467" s="156"/>
      <c r="B467" s="157"/>
      <c r="C467" s="157"/>
      <c r="D467" s="157"/>
      <c r="E467" s="157"/>
      <c r="F467" s="157"/>
      <c r="G467" s="157"/>
      <c r="H467" s="157"/>
      <c r="I467" s="158"/>
      <c r="J467" s="76" t="e">
        <f>INDEX(Tabla3[IMPORTE EXPRESO],MATCH(RENTABILIDAD[[#This Row],[ID VIAJE ]],Tabla3[ID VIAJE],0))</f>
        <v>#N/A</v>
      </c>
      <c r="K467" s="154" t="e">
        <f>RENTABILIDAD[[#This Row],[IMPORTE FACTURADO INT]]-RENTABILIDAD[[#This Row],[IMPORTE EXPRESOS]]</f>
        <v>#N/A</v>
      </c>
    </row>
    <row r="468" spans="1:11" hidden="1" x14ac:dyDescent="0.2">
      <c r="A468" s="156"/>
      <c r="B468" s="157"/>
      <c r="C468" s="157"/>
      <c r="D468" s="157"/>
      <c r="E468" s="157"/>
      <c r="F468" s="157"/>
      <c r="G468" s="157"/>
      <c r="H468" s="157"/>
      <c r="I468" s="158"/>
      <c r="J468" s="76" t="e">
        <f>INDEX(Tabla3[IMPORTE EXPRESO],MATCH(RENTABILIDAD[[#This Row],[ID VIAJE ]],Tabla3[ID VIAJE],0))</f>
        <v>#N/A</v>
      </c>
      <c r="K468" s="154" t="e">
        <f>RENTABILIDAD[[#This Row],[IMPORTE FACTURADO INT]]-RENTABILIDAD[[#This Row],[IMPORTE EXPRESOS]]</f>
        <v>#N/A</v>
      </c>
    </row>
    <row r="469" spans="1:11" hidden="1" x14ac:dyDescent="0.2">
      <c r="A469" s="156"/>
      <c r="B469" s="157"/>
      <c r="C469" s="157"/>
      <c r="D469" s="157"/>
      <c r="E469" s="157"/>
      <c r="F469" s="157"/>
      <c r="G469" s="157"/>
      <c r="H469" s="157"/>
      <c r="I469" s="158"/>
      <c r="J469" s="76" t="e">
        <f>INDEX(Tabla3[IMPORTE EXPRESO],MATCH(RENTABILIDAD[[#This Row],[ID VIAJE ]],Tabla3[ID VIAJE],0))</f>
        <v>#N/A</v>
      </c>
      <c r="K469" s="154" t="e">
        <f>RENTABILIDAD[[#This Row],[IMPORTE FACTURADO INT]]-RENTABILIDAD[[#This Row],[IMPORTE EXPRESOS]]</f>
        <v>#N/A</v>
      </c>
    </row>
    <row r="470" spans="1:11" hidden="1" x14ac:dyDescent="0.2">
      <c r="A470" s="156"/>
      <c r="B470" s="157"/>
      <c r="C470" s="157"/>
      <c r="D470" s="157"/>
      <c r="E470" s="157"/>
      <c r="F470" s="157"/>
      <c r="G470" s="157"/>
      <c r="H470" s="157"/>
      <c r="I470" s="158"/>
      <c r="J470" s="76" t="e">
        <f>INDEX(Tabla3[IMPORTE EXPRESO],MATCH(RENTABILIDAD[[#This Row],[ID VIAJE ]],Tabla3[ID VIAJE],0))</f>
        <v>#N/A</v>
      </c>
      <c r="K470" s="154" t="e">
        <f>RENTABILIDAD[[#This Row],[IMPORTE FACTURADO INT]]-RENTABILIDAD[[#This Row],[IMPORTE EXPRESOS]]</f>
        <v>#N/A</v>
      </c>
    </row>
    <row r="471" spans="1:11" hidden="1" x14ac:dyDescent="0.2">
      <c r="A471" s="156"/>
      <c r="B471" s="157"/>
      <c r="C471" s="157"/>
      <c r="D471" s="157"/>
      <c r="E471" s="157"/>
      <c r="F471" s="157"/>
      <c r="G471" s="157"/>
      <c r="H471" s="157"/>
      <c r="I471" s="158"/>
      <c r="J471" s="76" t="e">
        <f>INDEX(Tabla3[IMPORTE EXPRESO],MATCH(RENTABILIDAD[[#This Row],[ID VIAJE ]],Tabla3[ID VIAJE],0))</f>
        <v>#N/A</v>
      </c>
      <c r="K471" s="154" t="e">
        <f>RENTABILIDAD[[#This Row],[IMPORTE FACTURADO INT]]-RENTABILIDAD[[#This Row],[IMPORTE EXPRESOS]]</f>
        <v>#N/A</v>
      </c>
    </row>
    <row r="472" spans="1:11" hidden="1" x14ac:dyDescent="0.2">
      <c r="A472" s="156"/>
      <c r="B472" s="157"/>
      <c r="C472" s="157"/>
      <c r="D472" s="157"/>
      <c r="E472" s="157"/>
      <c r="F472" s="157"/>
      <c r="G472" s="157"/>
      <c r="H472" s="157"/>
      <c r="I472" s="158"/>
      <c r="J472" s="76" t="e">
        <f>INDEX(Tabla3[IMPORTE EXPRESO],MATCH(RENTABILIDAD[[#This Row],[ID VIAJE ]],Tabla3[ID VIAJE],0))</f>
        <v>#N/A</v>
      </c>
      <c r="K472" s="154" t="e">
        <f>RENTABILIDAD[[#This Row],[IMPORTE FACTURADO INT]]-RENTABILIDAD[[#This Row],[IMPORTE EXPRESOS]]</f>
        <v>#N/A</v>
      </c>
    </row>
    <row r="473" spans="1:11" hidden="1" x14ac:dyDescent="0.2">
      <c r="A473" s="156"/>
      <c r="B473" s="157"/>
      <c r="C473" s="157"/>
      <c r="D473" s="157"/>
      <c r="E473" s="157"/>
      <c r="F473" s="157"/>
      <c r="G473" s="157"/>
      <c r="H473" s="157"/>
      <c r="I473" s="158"/>
      <c r="J473" s="76" t="e">
        <f>INDEX(Tabla3[IMPORTE EXPRESO],MATCH(RENTABILIDAD[[#This Row],[ID VIAJE ]],Tabla3[ID VIAJE],0))</f>
        <v>#N/A</v>
      </c>
      <c r="K473" s="154" t="e">
        <f>RENTABILIDAD[[#This Row],[IMPORTE FACTURADO INT]]-RENTABILIDAD[[#This Row],[IMPORTE EXPRESOS]]</f>
        <v>#N/A</v>
      </c>
    </row>
    <row r="474" spans="1:11" hidden="1" x14ac:dyDescent="0.2">
      <c r="A474" s="156"/>
      <c r="B474" s="157"/>
      <c r="C474" s="157"/>
      <c r="D474" s="157"/>
      <c r="E474" s="157"/>
      <c r="F474" s="157"/>
      <c r="G474" s="157"/>
      <c r="H474" s="157"/>
      <c r="I474" s="158"/>
      <c r="J474" s="76" t="e">
        <f>INDEX(Tabla3[IMPORTE EXPRESO],MATCH(RENTABILIDAD[[#This Row],[ID VIAJE ]],Tabla3[ID VIAJE],0))</f>
        <v>#N/A</v>
      </c>
      <c r="K474" s="154" t="e">
        <f>RENTABILIDAD[[#This Row],[IMPORTE FACTURADO INT]]-RENTABILIDAD[[#This Row],[IMPORTE EXPRESOS]]</f>
        <v>#N/A</v>
      </c>
    </row>
    <row r="475" spans="1:11" hidden="1" x14ac:dyDescent="0.2">
      <c r="A475" s="156"/>
      <c r="B475" s="157"/>
      <c r="C475" s="157"/>
      <c r="D475" s="157"/>
      <c r="E475" s="157"/>
      <c r="F475" s="157"/>
      <c r="G475" s="157"/>
      <c r="H475" s="157"/>
      <c r="I475" s="158"/>
      <c r="J475" s="76" t="e">
        <f>INDEX(Tabla3[IMPORTE EXPRESO],MATCH(RENTABILIDAD[[#This Row],[ID VIAJE ]],Tabla3[ID VIAJE],0))</f>
        <v>#N/A</v>
      </c>
      <c r="K475" s="154" t="e">
        <f>RENTABILIDAD[[#This Row],[IMPORTE FACTURADO INT]]-RENTABILIDAD[[#This Row],[IMPORTE EXPRESOS]]</f>
        <v>#N/A</v>
      </c>
    </row>
    <row r="476" spans="1:11" hidden="1" x14ac:dyDescent="0.2">
      <c r="A476" s="156"/>
      <c r="B476" s="157"/>
      <c r="C476" s="157"/>
      <c r="D476" s="157"/>
      <c r="E476" s="157"/>
      <c r="F476" s="157"/>
      <c r="G476" s="157"/>
      <c r="H476" s="157"/>
      <c r="I476" s="158"/>
      <c r="J476" s="76" t="e">
        <f>INDEX(Tabla3[IMPORTE EXPRESO],MATCH(RENTABILIDAD[[#This Row],[ID VIAJE ]],Tabla3[ID VIAJE],0))</f>
        <v>#N/A</v>
      </c>
      <c r="K476" s="154" t="e">
        <f>RENTABILIDAD[[#This Row],[IMPORTE FACTURADO INT]]-RENTABILIDAD[[#This Row],[IMPORTE EXPRESOS]]</f>
        <v>#N/A</v>
      </c>
    </row>
    <row r="477" spans="1:11" hidden="1" x14ac:dyDescent="0.2">
      <c r="A477" s="156"/>
      <c r="B477" s="157"/>
      <c r="C477" s="157"/>
      <c r="D477" s="157"/>
      <c r="E477" s="157"/>
      <c r="F477" s="157"/>
      <c r="G477" s="157"/>
      <c r="H477" s="157"/>
      <c r="I477" s="158"/>
      <c r="J477" s="76" t="e">
        <f>INDEX(Tabla3[IMPORTE EXPRESO],MATCH(RENTABILIDAD[[#This Row],[ID VIAJE ]],Tabla3[ID VIAJE],0))</f>
        <v>#N/A</v>
      </c>
      <c r="K477" s="154" t="e">
        <f>RENTABILIDAD[[#This Row],[IMPORTE FACTURADO INT]]-RENTABILIDAD[[#This Row],[IMPORTE EXPRESOS]]</f>
        <v>#N/A</v>
      </c>
    </row>
    <row r="478" spans="1:11" hidden="1" x14ac:dyDescent="0.2">
      <c r="A478" s="156"/>
      <c r="B478" s="157"/>
      <c r="C478" s="157"/>
      <c r="D478" s="157"/>
      <c r="E478" s="157"/>
      <c r="F478" s="157"/>
      <c r="G478" s="157"/>
      <c r="H478" s="157"/>
      <c r="I478" s="158"/>
      <c r="J478" s="76" t="e">
        <f>INDEX(Tabla3[IMPORTE EXPRESO],MATCH(RENTABILIDAD[[#This Row],[ID VIAJE ]],Tabla3[ID VIAJE],0))</f>
        <v>#N/A</v>
      </c>
      <c r="K478" s="154" t="e">
        <f>RENTABILIDAD[[#This Row],[IMPORTE FACTURADO INT]]-RENTABILIDAD[[#This Row],[IMPORTE EXPRESOS]]</f>
        <v>#N/A</v>
      </c>
    </row>
    <row r="479" spans="1:11" hidden="1" x14ac:dyDescent="0.2">
      <c r="A479" s="156"/>
      <c r="B479" s="157"/>
      <c r="C479" s="157"/>
      <c r="D479" s="157"/>
      <c r="E479" s="157"/>
      <c r="F479" s="157"/>
      <c r="G479" s="157"/>
      <c r="H479" s="157"/>
      <c r="I479" s="158"/>
      <c r="J479" s="76" t="e">
        <f>INDEX(Tabla3[IMPORTE EXPRESO],MATCH(RENTABILIDAD[[#This Row],[ID VIAJE ]],Tabla3[ID VIAJE],0))</f>
        <v>#N/A</v>
      </c>
      <c r="K479" s="154" t="e">
        <f>RENTABILIDAD[[#This Row],[IMPORTE FACTURADO INT]]-RENTABILIDAD[[#This Row],[IMPORTE EXPRESOS]]</f>
        <v>#N/A</v>
      </c>
    </row>
    <row r="480" spans="1:11" hidden="1" x14ac:dyDescent="0.2">
      <c r="A480" s="156"/>
      <c r="B480" s="157"/>
      <c r="C480" s="157"/>
      <c r="D480" s="157"/>
      <c r="E480" s="157"/>
      <c r="F480" s="157"/>
      <c r="G480" s="157"/>
      <c r="H480" s="157"/>
      <c r="I480" s="158"/>
      <c r="J480" s="76" t="e">
        <f>INDEX(Tabla3[IMPORTE EXPRESO],MATCH(RENTABILIDAD[[#This Row],[ID VIAJE ]],Tabla3[ID VIAJE],0))</f>
        <v>#N/A</v>
      </c>
      <c r="K480" s="154" t="e">
        <f>RENTABILIDAD[[#This Row],[IMPORTE FACTURADO INT]]-RENTABILIDAD[[#This Row],[IMPORTE EXPRESOS]]</f>
        <v>#N/A</v>
      </c>
    </row>
    <row r="481" spans="1:11" hidden="1" x14ac:dyDescent="0.2">
      <c r="A481" s="156"/>
      <c r="B481" s="157"/>
      <c r="C481" s="157"/>
      <c r="D481" s="157"/>
      <c r="E481" s="157"/>
      <c r="F481" s="157"/>
      <c r="G481" s="157"/>
      <c r="H481" s="157"/>
      <c r="I481" s="158"/>
      <c r="J481" s="76" t="e">
        <f>INDEX(Tabla3[IMPORTE EXPRESO],MATCH(RENTABILIDAD[[#This Row],[ID VIAJE ]],Tabla3[ID VIAJE],0))</f>
        <v>#N/A</v>
      </c>
      <c r="K481" s="154" t="e">
        <f>RENTABILIDAD[[#This Row],[IMPORTE FACTURADO INT]]-RENTABILIDAD[[#This Row],[IMPORTE EXPRESOS]]</f>
        <v>#N/A</v>
      </c>
    </row>
    <row r="482" spans="1:11" hidden="1" x14ac:dyDescent="0.2">
      <c r="A482" s="156"/>
      <c r="B482" s="157"/>
      <c r="C482" s="157"/>
      <c r="D482" s="157"/>
      <c r="E482" s="157"/>
      <c r="F482" s="157"/>
      <c r="G482" s="157"/>
      <c r="H482" s="157"/>
      <c r="I482" s="158"/>
      <c r="J482" s="76" t="e">
        <f>INDEX(Tabla3[IMPORTE EXPRESO],MATCH(RENTABILIDAD[[#This Row],[ID VIAJE ]],Tabla3[ID VIAJE],0))</f>
        <v>#N/A</v>
      </c>
      <c r="K482" s="154" t="e">
        <f>RENTABILIDAD[[#This Row],[IMPORTE FACTURADO INT]]-RENTABILIDAD[[#This Row],[IMPORTE EXPRESOS]]</f>
        <v>#N/A</v>
      </c>
    </row>
    <row r="483" spans="1:11" hidden="1" x14ac:dyDescent="0.2">
      <c r="A483" s="156"/>
      <c r="B483" s="157"/>
      <c r="C483" s="157"/>
      <c r="D483" s="157"/>
      <c r="E483" s="157"/>
      <c r="F483" s="157"/>
      <c r="G483" s="157"/>
      <c r="H483" s="157"/>
      <c r="I483" s="158"/>
      <c r="J483" s="76" t="e">
        <f>INDEX(Tabla3[IMPORTE EXPRESO],MATCH(RENTABILIDAD[[#This Row],[ID VIAJE ]],Tabla3[ID VIAJE],0))</f>
        <v>#N/A</v>
      </c>
      <c r="K483" s="154" t="e">
        <f>RENTABILIDAD[[#This Row],[IMPORTE FACTURADO INT]]-RENTABILIDAD[[#This Row],[IMPORTE EXPRESOS]]</f>
        <v>#N/A</v>
      </c>
    </row>
    <row r="484" spans="1:11" hidden="1" x14ac:dyDescent="0.2">
      <c r="A484" s="156"/>
      <c r="B484" s="157"/>
      <c r="C484" s="157"/>
      <c r="D484" s="157"/>
      <c r="E484" s="157"/>
      <c r="F484" s="157"/>
      <c r="G484" s="157"/>
      <c r="H484" s="157"/>
      <c r="I484" s="158"/>
      <c r="J484" s="76" t="e">
        <f>INDEX(Tabla3[IMPORTE EXPRESO],MATCH(RENTABILIDAD[[#This Row],[ID VIAJE ]],Tabla3[ID VIAJE],0))</f>
        <v>#N/A</v>
      </c>
      <c r="K484" s="154" t="e">
        <f>RENTABILIDAD[[#This Row],[IMPORTE FACTURADO INT]]-RENTABILIDAD[[#This Row],[IMPORTE EXPRESOS]]</f>
        <v>#N/A</v>
      </c>
    </row>
    <row r="485" spans="1:11" hidden="1" x14ac:dyDescent="0.2">
      <c r="A485" s="156"/>
      <c r="B485" s="157"/>
      <c r="C485" s="157"/>
      <c r="D485" s="157"/>
      <c r="E485" s="157"/>
      <c r="F485" s="157"/>
      <c r="G485" s="157"/>
      <c r="H485" s="157"/>
      <c r="I485" s="158"/>
      <c r="J485" s="76" t="e">
        <f>INDEX(Tabla3[IMPORTE EXPRESO],MATCH(RENTABILIDAD[[#This Row],[ID VIAJE ]],Tabla3[ID VIAJE],0))</f>
        <v>#N/A</v>
      </c>
      <c r="K485" s="154" t="e">
        <f>RENTABILIDAD[[#This Row],[IMPORTE FACTURADO INT]]-RENTABILIDAD[[#This Row],[IMPORTE EXPRESOS]]</f>
        <v>#N/A</v>
      </c>
    </row>
    <row r="486" spans="1:11" hidden="1" x14ac:dyDescent="0.2">
      <c r="A486" s="156"/>
      <c r="B486" s="157"/>
      <c r="C486" s="157"/>
      <c r="D486" s="157"/>
      <c r="E486" s="157"/>
      <c r="F486" s="157"/>
      <c r="G486" s="157"/>
      <c r="H486" s="157"/>
      <c r="I486" s="158"/>
      <c r="J486" s="76" t="e">
        <f>INDEX(Tabla3[IMPORTE EXPRESO],MATCH(RENTABILIDAD[[#This Row],[ID VIAJE ]],Tabla3[ID VIAJE],0))</f>
        <v>#N/A</v>
      </c>
      <c r="K486" s="154" t="e">
        <f>RENTABILIDAD[[#This Row],[IMPORTE FACTURADO INT]]-RENTABILIDAD[[#This Row],[IMPORTE EXPRESOS]]</f>
        <v>#N/A</v>
      </c>
    </row>
    <row r="487" spans="1:11" hidden="1" x14ac:dyDescent="0.2">
      <c r="A487" s="156"/>
      <c r="B487" s="157"/>
      <c r="C487" s="157"/>
      <c r="D487" s="157"/>
      <c r="E487" s="157"/>
      <c r="F487" s="157"/>
      <c r="G487" s="157"/>
      <c r="H487" s="157"/>
      <c r="I487" s="158"/>
      <c r="J487" s="76" t="e">
        <f>INDEX(Tabla3[IMPORTE EXPRESO],MATCH(RENTABILIDAD[[#This Row],[ID VIAJE ]],Tabla3[ID VIAJE],0))</f>
        <v>#N/A</v>
      </c>
      <c r="K487" s="154" t="e">
        <f>RENTABILIDAD[[#This Row],[IMPORTE FACTURADO INT]]-RENTABILIDAD[[#This Row],[IMPORTE EXPRESOS]]</f>
        <v>#N/A</v>
      </c>
    </row>
    <row r="488" spans="1:11" hidden="1" x14ac:dyDescent="0.2">
      <c r="A488" s="156"/>
      <c r="B488" s="157"/>
      <c r="C488" s="157"/>
      <c r="D488" s="157"/>
      <c r="E488" s="157"/>
      <c r="F488" s="157"/>
      <c r="G488" s="157"/>
      <c r="H488" s="157"/>
      <c r="I488" s="158"/>
      <c r="J488" s="76" t="e">
        <f>INDEX(Tabla3[IMPORTE EXPRESO],MATCH(RENTABILIDAD[[#This Row],[ID VIAJE ]],Tabla3[ID VIAJE],0))</f>
        <v>#N/A</v>
      </c>
      <c r="K488" s="154" t="e">
        <f>RENTABILIDAD[[#This Row],[IMPORTE FACTURADO INT]]-RENTABILIDAD[[#This Row],[IMPORTE EXPRESOS]]</f>
        <v>#N/A</v>
      </c>
    </row>
    <row r="489" spans="1:11" hidden="1" x14ac:dyDescent="0.2">
      <c r="A489" s="156"/>
      <c r="B489" s="157"/>
      <c r="C489" s="157"/>
      <c r="D489" s="157"/>
      <c r="E489" s="157"/>
      <c r="F489" s="157"/>
      <c r="G489" s="157"/>
      <c r="H489" s="157"/>
      <c r="I489" s="158"/>
      <c r="J489" s="76" t="e">
        <f>INDEX(Tabla3[IMPORTE EXPRESO],MATCH(RENTABILIDAD[[#This Row],[ID VIAJE ]],Tabla3[ID VIAJE],0))</f>
        <v>#N/A</v>
      </c>
      <c r="K489" s="154" t="e">
        <f>RENTABILIDAD[[#This Row],[IMPORTE FACTURADO INT]]-RENTABILIDAD[[#This Row],[IMPORTE EXPRESOS]]</f>
        <v>#N/A</v>
      </c>
    </row>
    <row r="490" spans="1:11" hidden="1" x14ac:dyDescent="0.2">
      <c r="A490" s="156"/>
      <c r="B490" s="157"/>
      <c r="C490" s="157"/>
      <c r="D490" s="157"/>
      <c r="E490" s="157"/>
      <c r="F490" s="157"/>
      <c r="G490" s="157"/>
      <c r="H490" s="157"/>
      <c r="I490" s="158"/>
      <c r="J490" s="76" t="e">
        <f>INDEX(Tabla3[IMPORTE EXPRESO],MATCH(RENTABILIDAD[[#This Row],[ID VIAJE ]],Tabla3[ID VIAJE],0))</f>
        <v>#N/A</v>
      </c>
      <c r="K490" s="154" t="e">
        <f>RENTABILIDAD[[#This Row],[IMPORTE FACTURADO INT]]-RENTABILIDAD[[#This Row],[IMPORTE EXPRESOS]]</f>
        <v>#N/A</v>
      </c>
    </row>
    <row r="491" spans="1:11" hidden="1" x14ac:dyDescent="0.2">
      <c r="A491" s="156"/>
      <c r="B491" s="157"/>
      <c r="C491" s="157"/>
      <c r="D491" s="157"/>
      <c r="E491" s="157"/>
      <c r="F491" s="157"/>
      <c r="G491" s="157"/>
      <c r="H491" s="157"/>
      <c r="I491" s="158"/>
      <c r="J491" s="76" t="e">
        <f>INDEX(Tabla3[IMPORTE EXPRESO],MATCH(RENTABILIDAD[[#This Row],[ID VIAJE ]],Tabla3[ID VIAJE],0))</f>
        <v>#N/A</v>
      </c>
      <c r="K491" s="154" t="e">
        <f>RENTABILIDAD[[#This Row],[IMPORTE FACTURADO INT]]-RENTABILIDAD[[#This Row],[IMPORTE EXPRESOS]]</f>
        <v>#N/A</v>
      </c>
    </row>
    <row r="492" spans="1:11" hidden="1" x14ac:dyDescent="0.2">
      <c r="A492" s="156"/>
      <c r="B492" s="157"/>
      <c r="C492" s="157"/>
      <c r="D492" s="157"/>
      <c r="E492" s="157"/>
      <c r="F492" s="157"/>
      <c r="G492" s="157"/>
      <c r="H492" s="157"/>
      <c r="I492" s="158"/>
      <c r="J492" s="76" t="e">
        <f>INDEX(Tabla3[IMPORTE EXPRESO],MATCH(RENTABILIDAD[[#This Row],[ID VIAJE ]],Tabla3[ID VIAJE],0))</f>
        <v>#N/A</v>
      </c>
      <c r="K492" s="154" t="e">
        <f>RENTABILIDAD[[#This Row],[IMPORTE FACTURADO INT]]-RENTABILIDAD[[#This Row],[IMPORTE EXPRESOS]]</f>
        <v>#N/A</v>
      </c>
    </row>
    <row r="493" spans="1:11" hidden="1" x14ac:dyDescent="0.2">
      <c r="A493" s="156"/>
      <c r="B493" s="157"/>
      <c r="C493" s="157"/>
      <c r="D493" s="157"/>
      <c r="E493" s="157"/>
      <c r="F493" s="157"/>
      <c r="G493" s="157"/>
      <c r="H493" s="157"/>
      <c r="I493" s="158"/>
      <c r="J493" s="76" t="e">
        <f>INDEX(Tabla3[IMPORTE EXPRESO],MATCH(RENTABILIDAD[[#This Row],[ID VIAJE ]],Tabla3[ID VIAJE],0))</f>
        <v>#N/A</v>
      </c>
      <c r="K493" s="154" t="e">
        <f>RENTABILIDAD[[#This Row],[IMPORTE FACTURADO INT]]-RENTABILIDAD[[#This Row],[IMPORTE EXPRESOS]]</f>
        <v>#N/A</v>
      </c>
    </row>
    <row r="494" spans="1:11" hidden="1" x14ac:dyDescent="0.2">
      <c r="A494" s="156"/>
      <c r="B494" s="157"/>
      <c r="C494" s="157"/>
      <c r="D494" s="157"/>
      <c r="E494" s="157"/>
      <c r="F494" s="157"/>
      <c r="G494" s="157"/>
      <c r="H494" s="157"/>
      <c r="I494" s="158"/>
      <c r="J494" s="76" t="e">
        <f>INDEX(Tabla3[IMPORTE EXPRESO],MATCH(RENTABILIDAD[[#This Row],[ID VIAJE ]],Tabla3[ID VIAJE],0))</f>
        <v>#N/A</v>
      </c>
      <c r="K494" s="154" t="e">
        <f>RENTABILIDAD[[#This Row],[IMPORTE FACTURADO INT]]-RENTABILIDAD[[#This Row],[IMPORTE EXPRESOS]]</f>
        <v>#N/A</v>
      </c>
    </row>
    <row r="495" spans="1:11" hidden="1" x14ac:dyDescent="0.2">
      <c r="A495" s="156"/>
      <c r="B495" s="157"/>
      <c r="C495" s="157"/>
      <c r="D495" s="157"/>
      <c r="E495" s="157"/>
      <c r="F495" s="157"/>
      <c r="G495" s="157"/>
      <c r="H495" s="157"/>
      <c r="I495" s="158"/>
      <c r="J495" s="76" t="e">
        <f>INDEX(Tabla3[IMPORTE EXPRESO],MATCH(RENTABILIDAD[[#This Row],[ID VIAJE ]],Tabla3[ID VIAJE],0))</f>
        <v>#N/A</v>
      </c>
      <c r="K495" s="154" t="e">
        <f>RENTABILIDAD[[#This Row],[IMPORTE FACTURADO INT]]-RENTABILIDAD[[#This Row],[IMPORTE EXPRESOS]]</f>
        <v>#N/A</v>
      </c>
    </row>
    <row r="496" spans="1:11" hidden="1" x14ac:dyDescent="0.2">
      <c r="A496" s="156"/>
      <c r="B496" s="157"/>
      <c r="C496" s="157"/>
      <c r="D496" s="157"/>
      <c r="E496" s="157"/>
      <c r="F496" s="157"/>
      <c r="G496" s="157"/>
      <c r="H496" s="157"/>
      <c r="I496" s="158"/>
      <c r="J496" s="76" t="e">
        <f>INDEX(Tabla3[IMPORTE EXPRESO],MATCH(RENTABILIDAD[[#This Row],[ID VIAJE ]],Tabla3[ID VIAJE],0))</f>
        <v>#N/A</v>
      </c>
      <c r="K496" s="154" t="e">
        <f>RENTABILIDAD[[#This Row],[IMPORTE FACTURADO INT]]-RENTABILIDAD[[#This Row],[IMPORTE EXPRESOS]]</f>
        <v>#N/A</v>
      </c>
    </row>
    <row r="497" spans="1:11" hidden="1" x14ac:dyDescent="0.2">
      <c r="A497" s="156"/>
      <c r="B497" s="157"/>
      <c r="C497" s="157"/>
      <c r="D497" s="157"/>
      <c r="E497" s="157"/>
      <c r="F497" s="157"/>
      <c r="G497" s="157"/>
      <c r="H497" s="157"/>
      <c r="I497" s="158"/>
      <c r="J497" s="76" t="e">
        <f>INDEX(Tabla3[IMPORTE EXPRESO],MATCH(RENTABILIDAD[[#This Row],[ID VIAJE ]],Tabla3[ID VIAJE],0))</f>
        <v>#N/A</v>
      </c>
      <c r="K497" s="154" t="e">
        <f>RENTABILIDAD[[#This Row],[IMPORTE FACTURADO INT]]-RENTABILIDAD[[#This Row],[IMPORTE EXPRESOS]]</f>
        <v>#N/A</v>
      </c>
    </row>
    <row r="498" spans="1:11" hidden="1" x14ac:dyDescent="0.2">
      <c r="A498" s="156"/>
      <c r="B498" s="157"/>
      <c r="C498" s="157"/>
      <c r="D498" s="157"/>
      <c r="E498" s="157"/>
      <c r="F498" s="157"/>
      <c r="G498" s="157"/>
      <c r="H498" s="157"/>
      <c r="I498" s="158"/>
      <c r="J498" s="76" t="e">
        <f>INDEX(Tabla3[IMPORTE EXPRESO],MATCH(RENTABILIDAD[[#This Row],[ID VIAJE ]],Tabla3[ID VIAJE],0))</f>
        <v>#N/A</v>
      </c>
      <c r="K498" s="154" t="e">
        <f>RENTABILIDAD[[#This Row],[IMPORTE FACTURADO INT]]-RENTABILIDAD[[#This Row],[IMPORTE EXPRESOS]]</f>
        <v>#N/A</v>
      </c>
    </row>
    <row r="499" spans="1:11" hidden="1" x14ac:dyDescent="0.2">
      <c r="A499" s="156"/>
      <c r="B499" s="157"/>
      <c r="C499" s="157"/>
      <c r="D499" s="157"/>
      <c r="E499" s="157"/>
      <c r="F499" s="157"/>
      <c r="G499" s="157"/>
      <c r="H499" s="157"/>
      <c r="I499" s="158"/>
      <c r="J499" s="76" t="e">
        <f>INDEX(Tabla3[IMPORTE EXPRESO],MATCH(RENTABILIDAD[[#This Row],[ID VIAJE ]],Tabla3[ID VIAJE],0))</f>
        <v>#N/A</v>
      </c>
      <c r="K499" s="154" t="e">
        <f>RENTABILIDAD[[#This Row],[IMPORTE FACTURADO INT]]-RENTABILIDAD[[#This Row],[IMPORTE EXPRESOS]]</f>
        <v>#N/A</v>
      </c>
    </row>
    <row r="500" spans="1:11" hidden="1" x14ac:dyDescent="0.2">
      <c r="A500" s="159"/>
      <c r="B500" s="160"/>
      <c r="C500" s="160"/>
      <c r="D500" s="160"/>
      <c r="E500" s="160"/>
      <c r="F500" s="160"/>
      <c r="G500" s="160"/>
      <c r="H500" s="160"/>
      <c r="I500" s="161"/>
      <c r="J500" s="76" t="e">
        <f>INDEX(Tabla3[IMPORTE EXPRESO],MATCH(RENTABILIDAD[[#This Row],[ID VIAJE ]],Tabla3[ID VIAJE],0))</f>
        <v>#N/A</v>
      </c>
      <c r="K500" s="154" t="e">
        <f>RENTABILIDAD[[#This Row],[IMPORTE FACTURADO INT]]-RENTABILIDAD[[#This Row],[IMPORTE EXPRESOS]]</f>
        <v>#N/A</v>
      </c>
    </row>
    <row r="501" spans="1:11" x14ac:dyDescent="0.2">
      <c r="A501" s="159"/>
      <c r="B501" s="160"/>
      <c r="C501" s="160"/>
      <c r="D501" s="160"/>
      <c r="E501" s="160"/>
      <c r="F501" s="160"/>
      <c r="G501" s="160"/>
      <c r="H501" s="160"/>
      <c r="I501" s="194">
        <f>SUBTOTAL(109,RENTABILIDAD[IMPORTE FACTURADO INT])</f>
        <v>1926033.0299999996</v>
      </c>
      <c r="J501" s="194" t="e">
        <f>SUBTOTAL(109,RENTABILIDAD[IMPORTE EXPRESOS])</f>
        <v>#N/A</v>
      </c>
      <c r="K501" s="193" t="e">
        <f>SUBTOTAL(109,RENTABILIDAD[MARGEN DE RENTABILIDAD])</f>
        <v>#N/A</v>
      </c>
    </row>
  </sheetData>
  <mergeCells count="1">
    <mergeCell ref="A1:K1"/>
  </mergeCells>
  <conditionalFormatting sqref="K3:K500">
    <cfRule type="cellIs" dxfId="35" priority="1" operator="greaterThan">
      <formula>100</formula>
    </cfRule>
    <cfRule type="cellIs" dxfId="34" priority="2" operator="lessThanOrEqual">
      <formula>0</formula>
    </cfRule>
  </conditionalFormatting>
  <hyperlinks>
    <hyperlink ref="A1:K1" location="INDEX!A1" display="RENTABILIDAD" xr:uid="{50D07BD4-83A7-40E5-AA02-45809309C886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AF78B-5FCD-4D90-B7C5-465A6E6A1CE2}">
  <sheetPr codeName="Hoja1"/>
  <dimension ref="A1:C48"/>
  <sheetViews>
    <sheetView topLeftCell="A2" workbookViewId="0">
      <selection activeCell="B29" sqref="B29"/>
    </sheetView>
  </sheetViews>
  <sheetFormatPr baseColWidth="10" defaultRowHeight="12.75" x14ac:dyDescent="0.2"/>
  <cols>
    <col min="1" max="1" width="35.42578125" customWidth="1"/>
    <col min="2" max="2" width="24.85546875" customWidth="1"/>
    <col min="3" max="3" width="19.7109375" customWidth="1"/>
  </cols>
  <sheetData>
    <row r="1" spans="1:3" x14ac:dyDescent="0.2">
      <c r="A1" s="149" t="s">
        <v>52</v>
      </c>
      <c r="B1" s="149" t="s">
        <v>93</v>
      </c>
      <c r="C1" s="149" t="s">
        <v>87</v>
      </c>
    </row>
    <row r="2" spans="1:3" x14ac:dyDescent="0.2">
      <c r="A2" s="148" t="s">
        <v>108</v>
      </c>
      <c r="B2" s="148"/>
      <c r="C2" s="148"/>
    </row>
    <row r="3" spans="1:3" x14ac:dyDescent="0.2">
      <c r="A3" s="148" t="s">
        <v>147</v>
      </c>
      <c r="B3" s="148"/>
      <c r="C3" s="148"/>
    </row>
    <row r="4" spans="1:3" x14ac:dyDescent="0.2">
      <c r="A4" s="148" t="s">
        <v>123</v>
      </c>
      <c r="B4" s="148"/>
      <c r="C4" s="148"/>
    </row>
    <row r="5" spans="1:3" x14ac:dyDescent="0.2">
      <c r="A5" s="148" t="s">
        <v>127</v>
      </c>
      <c r="B5" s="148"/>
      <c r="C5" s="148"/>
    </row>
    <row r="6" spans="1:3" x14ac:dyDescent="0.2">
      <c r="A6" s="148" t="s">
        <v>128</v>
      </c>
      <c r="B6" s="148"/>
      <c r="C6" s="148"/>
    </row>
    <row r="7" spans="1:3" x14ac:dyDescent="0.2">
      <c r="A7" s="148" t="s">
        <v>105</v>
      </c>
      <c r="B7" s="148"/>
      <c r="C7" s="148"/>
    </row>
    <row r="8" spans="1:3" x14ac:dyDescent="0.2">
      <c r="A8" s="148" t="s">
        <v>139</v>
      </c>
      <c r="B8" s="148"/>
      <c r="C8" s="148"/>
    </row>
    <row r="9" spans="1:3" x14ac:dyDescent="0.2">
      <c r="A9" s="148" t="s">
        <v>98</v>
      </c>
      <c r="B9" s="148"/>
      <c r="C9" s="148"/>
    </row>
    <row r="10" spans="1:3" x14ac:dyDescent="0.2">
      <c r="A10" s="148" t="s">
        <v>102</v>
      </c>
      <c r="B10" s="148"/>
      <c r="C10" s="148"/>
    </row>
    <row r="11" spans="1:3" x14ac:dyDescent="0.2">
      <c r="A11" s="148" t="s">
        <v>121</v>
      </c>
      <c r="B11" s="148"/>
      <c r="C11" s="148"/>
    </row>
    <row r="12" spans="1:3" x14ac:dyDescent="0.2">
      <c r="A12" s="148" t="s">
        <v>132</v>
      </c>
      <c r="B12" s="148"/>
      <c r="C12" s="148"/>
    </row>
    <row r="13" spans="1:3" x14ac:dyDescent="0.2">
      <c r="A13" s="148" t="s">
        <v>53</v>
      </c>
      <c r="B13" s="148"/>
      <c r="C13" s="148"/>
    </row>
    <row r="14" spans="1:3" x14ac:dyDescent="0.2">
      <c r="A14" s="148" t="s">
        <v>111</v>
      </c>
      <c r="B14" s="148"/>
      <c r="C14" s="148"/>
    </row>
    <row r="15" spans="1:3" x14ac:dyDescent="0.2">
      <c r="A15" s="148" t="s">
        <v>122</v>
      </c>
      <c r="B15" s="148"/>
      <c r="C15" s="148"/>
    </row>
    <row r="16" spans="1:3" x14ac:dyDescent="0.2">
      <c r="A16" s="148" t="s">
        <v>101</v>
      </c>
      <c r="B16" s="148"/>
      <c r="C16" s="148"/>
    </row>
    <row r="17" spans="1:3" x14ac:dyDescent="0.2">
      <c r="A17" s="148" t="s">
        <v>118</v>
      </c>
      <c r="B17" s="148"/>
      <c r="C17" s="148"/>
    </row>
    <row r="18" spans="1:3" x14ac:dyDescent="0.2">
      <c r="A18" s="148" t="s">
        <v>100</v>
      </c>
      <c r="B18" s="148"/>
      <c r="C18" s="148"/>
    </row>
    <row r="19" spans="1:3" x14ac:dyDescent="0.2">
      <c r="A19" s="148" t="s">
        <v>141</v>
      </c>
      <c r="B19" s="148"/>
      <c r="C19" s="148"/>
    </row>
    <row r="20" spans="1:3" x14ac:dyDescent="0.2">
      <c r="A20" s="148" t="s">
        <v>154</v>
      </c>
      <c r="B20" s="148"/>
      <c r="C20" s="148"/>
    </row>
    <row r="21" spans="1:3" x14ac:dyDescent="0.2">
      <c r="A21" s="148" t="s">
        <v>119</v>
      </c>
      <c r="B21" s="148"/>
      <c r="C21" s="148"/>
    </row>
    <row r="22" spans="1:3" x14ac:dyDescent="0.2">
      <c r="A22" s="148" t="s">
        <v>135</v>
      </c>
      <c r="B22" s="148"/>
      <c r="C22" s="148"/>
    </row>
    <row r="23" spans="1:3" x14ac:dyDescent="0.2">
      <c r="A23" s="148" t="s">
        <v>104</v>
      </c>
      <c r="B23" s="148"/>
      <c r="C23" s="148"/>
    </row>
    <row r="24" spans="1:3" x14ac:dyDescent="0.2">
      <c r="A24" s="148" t="s">
        <v>126</v>
      </c>
      <c r="B24" s="148"/>
      <c r="C24" s="148"/>
    </row>
    <row r="25" spans="1:3" x14ac:dyDescent="0.2">
      <c r="A25" s="148" t="s">
        <v>130</v>
      </c>
      <c r="B25" s="148"/>
      <c r="C25" s="148"/>
    </row>
    <row r="26" spans="1:3" x14ac:dyDescent="0.2">
      <c r="A26" s="148" t="s">
        <v>120</v>
      </c>
      <c r="B26" s="148"/>
      <c r="C26" s="148"/>
    </row>
    <row r="27" spans="1:3" x14ac:dyDescent="0.2">
      <c r="A27" s="148" t="s">
        <v>95</v>
      </c>
      <c r="B27" s="148"/>
      <c r="C27" s="148"/>
    </row>
    <row r="28" spans="1:3" x14ac:dyDescent="0.2">
      <c r="A28" s="148" t="s">
        <v>151</v>
      </c>
      <c r="B28" s="148"/>
      <c r="C28" s="148"/>
    </row>
    <row r="29" spans="1:3" x14ac:dyDescent="0.2">
      <c r="A29" s="148" t="s">
        <v>103</v>
      </c>
      <c r="B29" s="148"/>
      <c r="C29" s="148"/>
    </row>
    <row r="30" spans="1:3" x14ac:dyDescent="0.2">
      <c r="A30" s="148" t="s">
        <v>129</v>
      </c>
      <c r="B30" s="148"/>
      <c r="C30" s="148"/>
    </row>
    <row r="31" spans="1:3" x14ac:dyDescent="0.2">
      <c r="A31" s="148" t="s">
        <v>99</v>
      </c>
      <c r="B31" s="148"/>
      <c r="C31" s="148"/>
    </row>
    <row r="32" spans="1:3" x14ac:dyDescent="0.2">
      <c r="A32" s="148" t="s">
        <v>124</v>
      </c>
      <c r="B32" s="148"/>
      <c r="C32" s="148"/>
    </row>
    <row r="33" spans="1:3" x14ac:dyDescent="0.2">
      <c r="A33" s="148" t="s">
        <v>92</v>
      </c>
      <c r="B33" s="148"/>
      <c r="C33" s="148"/>
    </row>
    <row r="34" spans="1:3" x14ac:dyDescent="0.2">
      <c r="A34" s="162" t="s">
        <v>125</v>
      </c>
      <c r="B34" s="162"/>
      <c r="C34" s="162"/>
    </row>
    <row r="35" spans="1:3" x14ac:dyDescent="0.2">
      <c r="A35" s="162" t="s">
        <v>106</v>
      </c>
      <c r="B35" s="162"/>
      <c r="C35" s="162"/>
    </row>
    <row r="36" spans="1:3" x14ac:dyDescent="0.2">
      <c r="A36" s="162" t="s">
        <v>107</v>
      </c>
      <c r="B36" s="162"/>
      <c r="C36" s="162"/>
    </row>
    <row r="37" spans="1:3" x14ac:dyDescent="0.2">
      <c r="A37" s="148" t="s">
        <v>110</v>
      </c>
      <c r="B37" s="148"/>
      <c r="C37" s="148"/>
    </row>
    <row r="38" spans="1:3" x14ac:dyDescent="0.2">
      <c r="A38" s="148" t="s">
        <v>140</v>
      </c>
      <c r="B38" s="148"/>
      <c r="C38" s="148"/>
    </row>
    <row r="39" spans="1:3" x14ac:dyDescent="0.2">
      <c r="A39" s="148" t="s">
        <v>142</v>
      </c>
      <c r="B39" s="148"/>
      <c r="C39" s="148"/>
    </row>
    <row r="40" spans="1:3" x14ac:dyDescent="0.2">
      <c r="A40" s="148" t="s">
        <v>109</v>
      </c>
      <c r="B40" s="148"/>
      <c r="C40" s="148"/>
    </row>
    <row r="41" spans="1:3" x14ac:dyDescent="0.2">
      <c r="A41" s="148" t="s">
        <v>155</v>
      </c>
      <c r="B41" s="148"/>
      <c r="C41" s="148"/>
    </row>
    <row r="42" spans="1:3" x14ac:dyDescent="0.2">
      <c r="A42" s="148" t="s">
        <v>136</v>
      </c>
      <c r="B42" s="148"/>
      <c r="C42" s="148"/>
    </row>
    <row r="43" spans="1:3" x14ac:dyDescent="0.2">
      <c r="A43" s="148" t="s">
        <v>144</v>
      </c>
      <c r="B43" s="148"/>
      <c r="C43" s="148"/>
    </row>
    <row r="44" spans="1:3" x14ac:dyDescent="0.2">
      <c r="A44" s="148" t="s">
        <v>131</v>
      </c>
      <c r="B44" s="148"/>
      <c r="C44" s="148"/>
    </row>
    <row r="45" spans="1:3" x14ac:dyDescent="0.2">
      <c r="A45" s="148" t="s">
        <v>156</v>
      </c>
      <c r="B45" s="148"/>
      <c r="C45" s="148"/>
    </row>
    <row r="46" spans="1:3" x14ac:dyDescent="0.2">
      <c r="A46" s="148" t="s">
        <v>116</v>
      </c>
      <c r="B46" s="148"/>
      <c r="C46" s="148"/>
    </row>
    <row r="47" spans="1:3" x14ac:dyDescent="0.2">
      <c r="A47" s="148" t="s">
        <v>152</v>
      </c>
      <c r="B47" s="148"/>
      <c r="C47" s="148"/>
    </row>
    <row r="48" spans="1:3" x14ac:dyDescent="0.2">
      <c r="A48" s="148" t="s">
        <v>153</v>
      </c>
      <c r="B48" s="148"/>
      <c r="C48" s="14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96C0-C218-47B5-B42E-BC9BD0FD9C47}">
  <sheetPr codeName="Hoja30"/>
  <dimension ref="A1:C30"/>
  <sheetViews>
    <sheetView workbookViewId="0">
      <selection activeCell="C30" sqref="C30"/>
    </sheetView>
  </sheetViews>
  <sheetFormatPr baseColWidth="10" defaultRowHeight="12.75" x14ac:dyDescent="0.2"/>
  <cols>
    <col min="1" max="1" width="34.140625" customWidth="1"/>
    <col min="2" max="2" width="24.140625" customWidth="1"/>
    <col min="3" max="3" width="26.28515625" customWidth="1"/>
  </cols>
  <sheetData>
    <row r="1" spans="1:3" x14ac:dyDescent="0.2">
      <c r="A1" s="74" t="s">
        <v>34</v>
      </c>
      <c r="B1" s="74" t="s">
        <v>33</v>
      </c>
      <c r="C1" s="74" t="s">
        <v>51</v>
      </c>
    </row>
    <row r="2" spans="1:3" x14ac:dyDescent="0.2">
      <c r="A2" t="s">
        <v>49</v>
      </c>
      <c r="B2" t="s">
        <v>43</v>
      </c>
      <c r="C2" s="118">
        <f>SUMIF(LISTA[CHOFER],CHOFERES[[#This Row],[NOMBRE DE CHOFER]],LISTA[VALOR FINAL])</f>
        <v>0</v>
      </c>
    </row>
    <row r="3" spans="1:3" x14ac:dyDescent="0.2">
      <c r="A3" t="s">
        <v>46</v>
      </c>
      <c r="B3" t="s">
        <v>43</v>
      </c>
      <c r="C3" s="118">
        <f>SUMIF(LISTA[CHOFER],CHOFERES[[#This Row],[NOMBRE DE CHOFER]],LISTA[VALOR FINAL])</f>
        <v>0</v>
      </c>
    </row>
    <row r="4" spans="1:3" x14ac:dyDescent="0.2">
      <c r="A4" t="s">
        <v>148</v>
      </c>
      <c r="B4" t="s">
        <v>43</v>
      </c>
      <c r="C4" s="118">
        <f>SUMIF(LISTA[CHOFER],CHOFERES[[#This Row],[NOMBRE DE CHOFER]],LISTA[VALOR FINAL])</f>
        <v>493598.96540000004</v>
      </c>
    </row>
    <row r="5" spans="1:3" x14ac:dyDescent="0.2">
      <c r="A5" t="s">
        <v>89</v>
      </c>
      <c r="B5" t="s">
        <v>50</v>
      </c>
      <c r="C5" s="118">
        <f>SUMIF(LISTA[CHOFER],CHOFERES[[#This Row],[NOMBRE DE CHOFER]],LISTA[VALOR FINAL])</f>
        <v>559992.78460000001</v>
      </c>
    </row>
    <row r="6" spans="1:3" x14ac:dyDescent="0.2">
      <c r="A6" t="s">
        <v>83</v>
      </c>
      <c r="B6" t="s">
        <v>43</v>
      </c>
      <c r="C6" s="118">
        <f>SUMIF(LISTA[CHOFER],CHOFERES[[#This Row],[NOMBRE DE CHOFER]],LISTA[VALOR FINAL])</f>
        <v>86154.2</v>
      </c>
    </row>
    <row r="7" spans="1:3" x14ac:dyDescent="0.2">
      <c r="A7" t="s">
        <v>42</v>
      </c>
      <c r="B7" t="s">
        <v>43</v>
      </c>
      <c r="C7" s="118">
        <f>SUMIF(LISTA[CHOFER],CHOFERES[[#This Row],[NOMBRE DE CHOFER]],LISTA[VALOR FINAL])</f>
        <v>762521.85999999987</v>
      </c>
    </row>
    <row r="8" spans="1:3" x14ac:dyDescent="0.2">
      <c r="A8" t="s">
        <v>138</v>
      </c>
      <c r="C8" s="118">
        <f>SUMIF(LISTA[CHOFER],CHOFERES[[#This Row],[NOMBRE DE CHOFER]],LISTA[VALOR FINAL])</f>
        <v>164476.54</v>
      </c>
    </row>
    <row r="9" spans="1:3" x14ac:dyDescent="0.2">
      <c r="A9" t="s">
        <v>90</v>
      </c>
      <c r="B9" t="s">
        <v>50</v>
      </c>
      <c r="C9" s="118">
        <f>SUMIF(LISTA[CHOFER],CHOFERES[[#This Row],[NOMBRE DE CHOFER]],LISTA[VALOR FINAL])</f>
        <v>386614.22000000003</v>
      </c>
    </row>
    <row r="10" spans="1:3" x14ac:dyDescent="0.2">
      <c r="A10" t="s">
        <v>187</v>
      </c>
      <c r="B10" t="s">
        <v>43</v>
      </c>
      <c r="C10" s="118">
        <f>SUMIF(LISTA[CHOFER],CHOFERES[[#This Row],[NOMBRE DE CHOFER]],LISTA[VALOR FINAL])</f>
        <v>171610.2</v>
      </c>
    </row>
    <row r="11" spans="1:3" x14ac:dyDescent="0.2">
      <c r="A11" t="s">
        <v>150</v>
      </c>
      <c r="B11" t="s">
        <v>50</v>
      </c>
      <c r="C11" s="118">
        <f>SUMIF(LISTA[CHOFER],CHOFERES[[#This Row],[NOMBRE DE CHOFER]],LISTA[VALOR FINAL])</f>
        <v>86154.2</v>
      </c>
    </row>
    <row r="12" spans="1:3" x14ac:dyDescent="0.2">
      <c r="A12" t="s">
        <v>48</v>
      </c>
      <c r="B12" t="s">
        <v>50</v>
      </c>
      <c r="C12" s="118">
        <f>SUMIF(LISTA[CHOFER],CHOFERES[[#This Row],[NOMBRE DE CHOFER]],LISTA[VALOR FINAL])</f>
        <v>204220.71730000002</v>
      </c>
    </row>
    <row r="13" spans="1:3" x14ac:dyDescent="0.2">
      <c r="A13" t="s">
        <v>44</v>
      </c>
      <c r="B13" t="s">
        <v>50</v>
      </c>
      <c r="C13" s="118">
        <f>SUMIF(LISTA[CHOFER],CHOFERES[[#This Row],[NOMBRE DE CHOFER]],LISTA[VALOR FINAL])</f>
        <v>377833.81999999995</v>
      </c>
    </row>
    <row r="14" spans="1:3" x14ac:dyDescent="0.2">
      <c r="A14" t="s">
        <v>158</v>
      </c>
      <c r="B14" t="s">
        <v>50</v>
      </c>
      <c r="C14" s="118">
        <f>SUMIF(LISTA[CHOFER],CHOFERES[[#This Row],[NOMBRE DE CHOFER]],LISTA[VALOR FINAL])</f>
        <v>88776.958000000013</v>
      </c>
    </row>
    <row r="15" spans="1:3" x14ac:dyDescent="0.2">
      <c r="A15" t="s">
        <v>81</v>
      </c>
      <c r="B15" t="s">
        <v>43</v>
      </c>
      <c r="C15" s="118">
        <f>SUMIF(LISTA[CHOFER],CHOFERES[[#This Row],[NOMBRE DE CHOFER]],LISTA[VALOR FINAL])</f>
        <v>0</v>
      </c>
    </row>
    <row r="16" spans="1:3" x14ac:dyDescent="0.2">
      <c r="A16" t="s">
        <v>41</v>
      </c>
      <c r="B16" t="s">
        <v>50</v>
      </c>
      <c r="C16" s="118">
        <f>SUMIF(LISTA[CHOFER],CHOFERES[[#This Row],[NOMBRE DE CHOFER]],LISTA[VALOR FINAL])</f>
        <v>125445.75999999999</v>
      </c>
    </row>
    <row r="17" spans="1:3" x14ac:dyDescent="0.2">
      <c r="A17" t="s">
        <v>149</v>
      </c>
      <c r="B17" t="s">
        <v>43</v>
      </c>
      <c r="C17" s="118">
        <f>SUMIF(LISTA[CHOFER],CHOFERES[[#This Row],[NOMBRE DE CHOFER]],LISTA[VALOR FINAL])</f>
        <v>0</v>
      </c>
    </row>
    <row r="18" spans="1:3" x14ac:dyDescent="0.2">
      <c r="A18" t="s">
        <v>47</v>
      </c>
      <c r="B18" t="s">
        <v>43</v>
      </c>
      <c r="C18" s="118">
        <f>SUMIF(LISTA[CHOFER],CHOFERES[[#This Row],[NOMBRE DE CHOFER]],LISTA[VALOR FINAL])</f>
        <v>300841.5</v>
      </c>
    </row>
    <row r="19" spans="1:3" x14ac:dyDescent="0.2">
      <c r="A19" t="s">
        <v>40</v>
      </c>
      <c r="B19" t="s">
        <v>50</v>
      </c>
      <c r="C19" s="118">
        <f>SUMIF(LISTA[CHOFER],CHOFERES[[#This Row],[NOMBRE DE CHOFER]],LISTA[VALOR FINAL])</f>
        <v>437183.85999999993</v>
      </c>
    </row>
    <row r="20" spans="1:3" x14ac:dyDescent="0.2">
      <c r="A20" s="73" t="s">
        <v>38</v>
      </c>
      <c r="B20" t="s">
        <v>50</v>
      </c>
      <c r="C20" s="118">
        <f>SUMIF(LISTA[CHOFER],CHOFERES[[#This Row],[NOMBRE DE CHOFER]],LISTA[VALOR FINAL])</f>
        <v>1072711.8752000004</v>
      </c>
    </row>
    <row r="21" spans="1:3" x14ac:dyDescent="0.2">
      <c r="A21" t="s">
        <v>88</v>
      </c>
      <c r="B21" t="s">
        <v>50</v>
      </c>
      <c r="C21" s="118">
        <f>SUMIF(LISTA[CHOFER],CHOFERES[[#This Row],[NOMBRE DE CHOFER]],LISTA[VALOR FINAL])</f>
        <v>320828.16399999999</v>
      </c>
    </row>
    <row r="22" spans="1:3" x14ac:dyDescent="0.2">
      <c r="A22" t="s">
        <v>94</v>
      </c>
      <c r="B22" t="s">
        <v>43</v>
      </c>
      <c r="C22" s="118">
        <f>SUMIF(LISTA[CHOFER],CHOFERES[[#This Row],[NOMBRE DE CHOFER]],LISTA[VALOR FINAL])</f>
        <v>86154.2</v>
      </c>
    </row>
    <row r="23" spans="1:3" x14ac:dyDescent="0.2">
      <c r="A23" t="s">
        <v>91</v>
      </c>
      <c r="B23" t="s">
        <v>43</v>
      </c>
      <c r="C23" s="118">
        <f>SUMIF(LISTA[CHOFER],CHOFERES[[#This Row],[NOMBRE DE CHOFER]],LISTA[VALOR FINAL])</f>
        <v>133468.59940000006</v>
      </c>
    </row>
    <row r="24" spans="1:3" x14ac:dyDescent="0.2">
      <c r="A24" t="s">
        <v>134</v>
      </c>
      <c r="B24" t="s">
        <v>43</v>
      </c>
      <c r="C24" s="118">
        <f>SUMIF(LISTA[CHOFER],CHOFERES[[#This Row],[NOMBRE DE CHOFER]],LISTA[VALOR FINAL])</f>
        <v>0</v>
      </c>
    </row>
    <row r="25" spans="1:3" x14ac:dyDescent="0.2">
      <c r="A25" t="s">
        <v>133</v>
      </c>
      <c r="B25" t="s">
        <v>50</v>
      </c>
      <c r="C25" s="118">
        <f>SUMIF(LISTA[CHOFER],CHOFERES[[#This Row],[NOMBRE DE CHOFER]],LISTA[VALOR FINAL])</f>
        <v>0</v>
      </c>
    </row>
    <row r="26" spans="1:3" x14ac:dyDescent="0.2">
      <c r="A26" t="s">
        <v>80</v>
      </c>
      <c r="B26" t="s">
        <v>43</v>
      </c>
      <c r="C26" s="118">
        <f>SUMIF(LISTA[CHOFER],CHOFERES[[#This Row],[NOMBRE DE CHOFER]],LISTA[VALOR FINAL])</f>
        <v>0</v>
      </c>
    </row>
    <row r="27" spans="1:3" x14ac:dyDescent="0.2">
      <c r="A27" t="s">
        <v>78</v>
      </c>
      <c r="B27" t="s">
        <v>43</v>
      </c>
      <c r="C27" s="118">
        <f>SUMIF(LISTA[CHOFER],CHOFERES[[#This Row],[NOMBRE DE CHOFER]],LISTA[VALOR FINAL])</f>
        <v>86154.2</v>
      </c>
    </row>
    <row r="28" spans="1:3" x14ac:dyDescent="0.2">
      <c r="A28" t="s">
        <v>143</v>
      </c>
      <c r="B28" t="s">
        <v>43</v>
      </c>
      <c r="C28" s="118">
        <f>SUMIF(LISTA[CHOFER],CHOFERES[[#This Row],[NOMBRE DE CHOFER]],LISTA[VALOR FINAL])</f>
        <v>39149.31</v>
      </c>
    </row>
    <row r="29" spans="1:3" x14ac:dyDescent="0.2">
      <c r="A29" t="s">
        <v>84</v>
      </c>
      <c r="B29" t="s">
        <v>43</v>
      </c>
      <c r="C29" s="118">
        <f>SUMIF(LISTA[CHOFER],CHOFERES[[#This Row],[NOMBRE DE CHOFER]],LISTA[VALOR FINAL])</f>
        <v>2239.6</v>
      </c>
    </row>
    <row r="30" spans="1:3" x14ac:dyDescent="0.2">
      <c r="A30" t="s">
        <v>77</v>
      </c>
      <c r="B30" t="s">
        <v>43</v>
      </c>
      <c r="C30" s="118">
        <f>SUMIF(LISTA[CHOFER],CHOFERES[[#This Row],[NOMBRE DE CHOFER]],LISTA[VALOR FINAL])</f>
        <v>749770.36999999988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A1F2-44D9-4506-9B7E-6645C57559E0}">
  <sheetPr codeName="Hoja4"/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12</vt:i4>
      </vt:variant>
    </vt:vector>
  </HeadingPairs>
  <TitlesOfParts>
    <vt:vector size="32" baseType="lpstr">
      <vt:lpstr>ESPECIALES</vt:lpstr>
      <vt:lpstr>CORDOBA</vt:lpstr>
      <vt:lpstr>DEVOLUCIONES</vt:lpstr>
      <vt:lpstr>PUERTO</vt:lpstr>
      <vt:lpstr>INGRESOS DESDE PLANTAS</vt:lpstr>
      <vt:lpstr>ENVIOS A PLANTAS</vt:lpstr>
      <vt:lpstr>DESPACHOS DESDE PLANTAS</vt:lpstr>
      <vt:lpstr>DESPACHOS</vt:lpstr>
      <vt:lpstr>INSUMOS</vt:lpstr>
      <vt:lpstr>MUDANZA</vt:lpstr>
      <vt:lpstr>INGRESOS DE PUERTO</vt:lpstr>
      <vt:lpstr>INGRESOS</vt:lpstr>
      <vt:lpstr>PUERTO-PIBERA</vt:lpstr>
      <vt:lpstr>INDEX</vt:lpstr>
      <vt:lpstr>BDVIAJES</vt:lpstr>
      <vt:lpstr>VIAJESaEXPRESOS</vt:lpstr>
      <vt:lpstr>RENTABILIDAD</vt:lpstr>
      <vt:lpstr>BDEXPRESOS</vt:lpstr>
      <vt:lpstr>BDCHOFERES</vt:lpstr>
      <vt:lpstr>BDCLIENTES</vt:lpstr>
      <vt:lpstr>CORDOBA!Área_de_impresión</vt:lpstr>
      <vt:lpstr>'DESPACHOS DESDE PLANTAS'!Área_de_impresión</vt:lpstr>
      <vt:lpstr>DEVOLUCIONES!Área_de_impresión</vt:lpstr>
      <vt:lpstr>'ENVIOS A PLANTAS'!Área_de_impresión</vt:lpstr>
      <vt:lpstr>ESPECIALES!Área_de_impresión</vt:lpstr>
      <vt:lpstr>INGRESOS!Área_de_impresión</vt:lpstr>
      <vt:lpstr>'INGRESOS DE PUERTO'!Área_de_impresión</vt:lpstr>
      <vt:lpstr>'INGRESOS DESDE PLANTAS'!Área_de_impresión</vt:lpstr>
      <vt:lpstr>INSUMOS!Área_de_impresión</vt:lpstr>
      <vt:lpstr>MUDANZA!Área_de_impresión</vt:lpstr>
      <vt:lpstr>PUERTO!Área_de_impresión</vt:lpstr>
      <vt:lpstr>'PUERTO-PIBERA'!Área_de_impresión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Vaccaro</dc:creator>
  <cp:lastModifiedBy>Usuario1</cp:lastModifiedBy>
  <cp:lastPrinted>2022-11-28T18:48:14Z</cp:lastPrinted>
  <dcterms:created xsi:type="dcterms:W3CDTF">2016-10-14T17:51:46Z</dcterms:created>
  <dcterms:modified xsi:type="dcterms:W3CDTF">2022-11-28T19:28:25Z</dcterms:modified>
</cp:coreProperties>
</file>